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. Luis\Documents\GitHub\senai2026\auxiliar_linha_producao_YPE\aula10\"/>
    </mc:Choice>
  </mc:AlternateContent>
  <xr:revisionPtr revIDLastSave="0" documentId="13_ncr:1_{5BDC41C7-35DF-4AE0-99EF-6C9E8547803D}" xr6:coauthVersionLast="47" xr6:coauthVersionMax="47" xr10:uidLastSave="{00000000-0000-0000-0000-000000000000}"/>
  <bookViews>
    <workbookView xWindow="-110" yWindow="-110" windowWidth="19420" windowHeight="10300" activeTab="1" xr2:uid="{CCE9A1D2-ECF4-4A12-A75D-99F74C373F36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2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I2" i="1" s="1"/>
  <c r="I2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0" i="1"/>
  <c r="G6" i="1"/>
  <c r="G3" i="1"/>
  <c r="G4" i="1"/>
  <c r="G5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I31" i="1" l="1"/>
</calcChain>
</file>

<file path=xl/sharedStrings.xml><?xml version="1.0" encoding="utf-8"?>
<sst xmlns="http://schemas.openxmlformats.org/spreadsheetml/2006/main" count="128" uniqueCount="52">
  <si>
    <t>Região Centro-Oeste</t>
  </si>
  <si>
    <t>GO</t>
  </si>
  <si>
    <t>Smartphone iOS</t>
  </si>
  <si>
    <t>Região Sudeste</t>
  </si>
  <si>
    <t>SP</t>
  </si>
  <si>
    <t>Pen drive 32GB</t>
  </si>
  <si>
    <t>Região Sul</t>
  </si>
  <si>
    <t>RS</t>
  </si>
  <si>
    <t>Monitor OLED 33"</t>
  </si>
  <si>
    <t>SmartTV TV 50" 4K</t>
  </si>
  <si>
    <t>Região Nordeste</t>
  </si>
  <si>
    <t>BA</t>
  </si>
  <si>
    <t>Smartphone Android</t>
  </si>
  <si>
    <t>RJ</t>
  </si>
  <si>
    <t>TV 48" 4K</t>
  </si>
  <si>
    <t>TV 60" 4K</t>
  </si>
  <si>
    <t>MG</t>
  </si>
  <si>
    <t>Região Norte</t>
  </si>
  <si>
    <t>AM</t>
  </si>
  <si>
    <t>ES</t>
  </si>
  <si>
    <t>PR</t>
  </si>
  <si>
    <t>Pedido</t>
  </si>
  <si>
    <t>Região</t>
  </si>
  <si>
    <t>Estado</t>
  </si>
  <si>
    <t>Produto</t>
  </si>
  <si>
    <t xml:space="preserve">Data </t>
  </si>
  <si>
    <t>Quantidade</t>
  </si>
  <si>
    <t>valor unitário</t>
  </si>
  <si>
    <t>Frete</t>
  </si>
  <si>
    <t>Total</t>
  </si>
  <si>
    <t>Tabela de preço</t>
  </si>
  <si>
    <t>Pen Drive 32gb</t>
  </si>
  <si>
    <t>Monitor Oled 33"</t>
  </si>
  <si>
    <t>SmartPhone Android</t>
  </si>
  <si>
    <t>SmartPhone Ios</t>
  </si>
  <si>
    <t>Valor do Frete</t>
  </si>
  <si>
    <t>Matrícula</t>
  </si>
  <si>
    <t>Funcionário</t>
  </si>
  <si>
    <t>Cargo</t>
  </si>
  <si>
    <t>Salário</t>
  </si>
  <si>
    <t>Carlos</t>
  </si>
  <si>
    <t>Analista</t>
  </si>
  <si>
    <t>Mariana</t>
  </si>
  <si>
    <t>Gerente</t>
  </si>
  <si>
    <t>João</t>
  </si>
  <si>
    <t>Suporte</t>
  </si>
  <si>
    <t>Fernanda</t>
  </si>
  <si>
    <t>RH</t>
  </si>
  <si>
    <t>Ricardo</t>
  </si>
  <si>
    <t>Diretor</t>
  </si>
  <si>
    <t>Matricula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</si>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</sst>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1F2328"/>
      <name val="Segoe UI"/>
      <family val="2"/>
    </font>
    <font>
      <sz val="8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0" fillId="2" borderId="1" xfId="0" applyFill="1" applyBorder="1"/>
    <xf numFmtId="14" fontId="0" fillId="0" borderId="1" xfId="0" applyNumberFormat="1" applyBorder="1"/>
    <xf numFmtId="44" fontId="0" fillId="0" borderId="1" xfId="0" applyNumberFormat="1" applyBorder="1"/>
    <xf numFmtId="44" fontId="0" fillId="2" borderId="0" xfId="0" applyNumberFormat="1" applyFill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BC30-C1EA-45BB-BBD9-B4C5F2354F34}">
  <dimension ref="A1:L31"/>
  <sheetViews>
    <sheetView zoomScale="115" zoomScaleNormal="115" workbookViewId="0">
      <selection activeCell="I31" sqref="I31"/>
    </sheetView>
  </sheetViews>
  <sheetFormatPr defaultRowHeight="14.5" x14ac:dyDescent="0.35"/>
  <cols>
    <col min="2" max="2" width="17.90625" bestFit="1" customWidth="1"/>
    <col min="4" max="4" width="17.7265625" bestFit="1" customWidth="1"/>
    <col min="5" max="5" width="10.453125" bestFit="1" customWidth="1"/>
    <col min="6" max="6" width="10.36328125" bestFit="1" customWidth="1"/>
    <col min="7" max="7" width="12.36328125" customWidth="1"/>
    <col min="8" max="8" width="9.90625" customWidth="1"/>
    <col min="9" max="9" width="14.08984375" bestFit="1" customWidth="1"/>
    <col min="11" max="11" width="17.453125" bestFit="1" customWidth="1"/>
    <col min="12" max="12" width="11.90625" bestFit="1" customWidth="1"/>
  </cols>
  <sheetData>
    <row r="1" spans="1:12" x14ac:dyDescent="0.3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K1" s="1" t="s">
        <v>30</v>
      </c>
      <c r="L1" s="1"/>
    </row>
    <row r="2" spans="1:12" x14ac:dyDescent="0.35">
      <c r="A2" s="2">
        <v>1001</v>
      </c>
      <c r="B2" s="2" t="s">
        <v>0</v>
      </c>
      <c r="C2" s="2" t="s">
        <v>1</v>
      </c>
      <c r="D2" s="2" t="s">
        <v>2</v>
      </c>
      <c r="E2" s="5">
        <v>45613</v>
      </c>
      <c r="F2" s="2">
        <v>4</v>
      </c>
      <c r="G2" s="3">
        <f>VLOOKUP(D2,$K$2:$L$8,2,)</f>
        <v>8300</v>
      </c>
      <c r="H2" s="3">
        <f>VLOOKUP(B2,$K$11:$L$15,2,)</f>
        <v>15</v>
      </c>
      <c r="I2" s="6">
        <f>(F2*G2) + (F2 * H2)</f>
        <v>33260</v>
      </c>
      <c r="K2" s="2" t="s">
        <v>31</v>
      </c>
      <c r="L2" s="3">
        <v>45</v>
      </c>
    </row>
    <row r="3" spans="1:12" x14ac:dyDescent="0.35">
      <c r="A3" s="2">
        <v>1002</v>
      </c>
      <c r="B3" s="2" t="s">
        <v>3</v>
      </c>
      <c r="C3" s="2" t="s">
        <v>4</v>
      </c>
      <c r="D3" s="2" t="s">
        <v>5</v>
      </c>
      <c r="E3" s="5">
        <v>45613</v>
      </c>
      <c r="F3" s="2">
        <v>4</v>
      </c>
      <c r="G3" s="3">
        <f t="shared" ref="G3:G30" si="0">VLOOKUP(D3,$K$2:$L$8,2,)</f>
        <v>45</v>
      </c>
      <c r="H3" s="3">
        <f t="shared" ref="H3:H30" si="1">VLOOKUP(B3,$K$11:$L$15,2,)</f>
        <v>10</v>
      </c>
      <c r="I3" s="6">
        <f t="shared" ref="I3:I30" si="2">(F3*G3) + (F3 * H3)</f>
        <v>220</v>
      </c>
      <c r="K3" s="2" t="s">
        <v>32</v>
      </c>
      <c r="L3" s="3">
        <v>1790</v>
      </c>
    </row>
    <row r="4" spans="1:12" x14ac:dyDescent="0.35">
      <c r="A4" s="2">
        <v>1003</v>
      </c>
      <c r="B4" s="2" t="s">
        <v>6</v>
      </c>
      <c r="C4" s="2" t="s">
        <v>7</v>
      </c>
      <c r="D4" s="2" t="s">
        <v>2</v>
      </c>
      <c r="E4" s="5">
        <v>45613</v>
      </c>
      <c r="F4" s="2">
        <v>2</v>
      </c>
      <c r="G4" s="3">
        <f t="shared" si="0"/>
        <v>8300</v>
      </c>
      <c r="H4" s="3">
        <f t="shared" si="1"/>
        <v>15</v>
      </c>
      <c r="I4" s="6">
        <f t="shared" si="2"/>
        <v>16630</v>
      </c>
      <c r="K4" s="2" t="s">
        <v>33</v>
      </c>
      <c r="L4" s="3">
        <v>3200</v>
      </c>
    </row>
    <row r="5" spans="1:12" x14ac:dyDescent="0.35">
      <c r="A5" s="2">
        <v>1004</v>
      </c>
      <c r="B5" s="2" t="s">
        <v>6</v>
      </c>
      <c r="C5" s="2" t="s">
        <v>7</v>
      </c>
      <c r="D5" s="2" t="s">
        <v>8</v>
      </c>
      <c r="E5" s="5">
        <v>45614</v>
      </c>
      <c r="F5" s="2">
        <v>1</v>
      </c>
      <c r="G5" s="3">
        <f t="shared" si="0"/>
        <v>1790</v>
      </c>
      <c r="H5" s="3">
        <f t="shared" si="1"/>
        <v>15</v>
      </c>
      <c r="I5" s="6">
        <f t="shared" si="2"/>
        <v>1805</v>
      </c>
      <c r="K5" s="2" t="s">
        <v>9</v>
      </c>
      <c r="L5" s="3">
        <v>2950</v>
      </c>
    </row>
    <row r="6" spans="1:12" x14ac:dyDescent="0.35">
      <c r="A6" s="2">
        <v>1005</v>
      </c>
      <c r="B6" s="2" t="s">
        <v>3</v>
      </c>
      <c r="C6" s="2" t="s">
        <v>4</v>
      </c>
      <c r="D6" s="2" t="s">
        <v>9</v>
      </c>
      <c r="E6" s="5">
        <v>45614</v>
      </c>
      <c r="F6" s="2">
        <v>1</v>
      </c>
      <c r="G6" s="3">
        <f>VLOOKUP(D6,$K$2:$L$8,2,)</f>
        <v>2950</v>
      </c>
      <c r="H6" s="3">
        <f t="shared" si="1"/>
        <v>10</v>
      </c>
      <c r="I6" s="6">
        <f t="shared" si="2"/>
        <v>2960</v>
      </c>
      <c r="K6" s="2" t="s">
        <v>14</v>
      </c>
      <c r="L6" s="3">
        <v>2840</v>
      </c>
    </row>
    <row r="7" spans="1:12" x14ac:dyDescent="0.35">
      <c r="A7" s="2">
        <v>1006</v>
      </c>
      <c r="B7" s="2" t="s">
        <v>10</v>
      </c>
      <c r="C7" s="2" t="s">
        <v>11</v>
      </c>
      <c r="D7" s="2" t="s">
        <v>12</v>
      </c>
      <c r="E7" s="5">
        <v>45614</v>
      </c>
      <c r="F7" s="2">
        <v>4</v>
      </c>
      <c r="G7" s="3">
        <f t="shared" si="0"/>
        <v>3200</v>
      </c>
      <c r="H7" s="3">
        <f t="shared" si="1"/>
        <v>20</v>
      </c>
      <c r="I7" s="6">
        <f t="shared" si="2"/>
        <v>12880</v>
      </c>
      <c r="K7" s="2" t="s">
        <v>15</v>
      </c>
      <c r="L7" s="3">
        <v>3470</v>
      </c>
    </row>
    <row r="8" spans="1:12" x14ac:dyDescent="0.35">
      <c r="A8" s="2">
        <v>1007</v>
      </c>
      <c r="B8" s="2" t="s">
        <v>3</v>
      </c>
      <c r="C8" s="2" t="s">
        <v>4</v>
      </c>
      <c r="D8" s="2" t="s">
        <v>9</v>
      </c>
      <c r="E8" s="5">
        <v>45614</v>
      </c>
      <c r="F8" s="2">
        <v>2</v>
      </c>
      <c r="G8" s="3">
        <f t="shared" si="0"/>
        <v>2950</v>
      </c>
      <c r="H8" s="3">
        <f t="shared" si="1"/>
        <v>10</v>
      </c>
      <c r="I8" s="6">
        <f t="shared" si="2"/>
        <v>5920</v>
      </c>
      <c r="K8" s="2" t="s">
        <v>34</v>
      </c>
      <c r="L8" s="3">
        <v>8300</v>
      </c>
    </row>
    <row r="9" spans="1:12" x14ac:dyDescent="0.35">
      <c r="A9" s="2">
        <v>1008</v>
      </c>
      <c r="B9" s="2" t="s">
        <v>3</v>
      </c>
      <c r="C9" s="2" t="s">
        <v>13</v>
      </c>
      <c r="D9" s="2" t="s">
        <v>14</v>
      </c>
      <c r="E9" s="5">
        <v>45615</v>
      </c>
      <c r="F9" s="2">
        <v>4</v>
      </c>
      <c r="G9" s="3">
        <f t="shared" si="0"/>
        <v>2840</v>
      </c>
      <c r="H9" s="3">
        <f t="shared" si="1"/>
        <v>10</v>
      </c>
      <c r="I9" s="6">
        <f t="shared" si="2"/>
        <v>11400</v>
      </c>
    </row>
    <row r="10" spans="1:12" x14ac:dyDescent="0.35">
      <c r="A10" s="2">
        <v>1009</v>
      </c>
      <c r="B10" s="2" t="s">
        <v>10</v>
      </c>
      <c r="C10" s="2" t="s">
        <v>11</v>
      </c>
      <c r="D10" s="2" t="s">
        <v>9</v>
      </c>
      <c r="E10" s="5">
        <v>45615</v>
      </c>
      <c r="F10" s="2">
        <v>5</v>
      </c>
      <c r="G10" s="3">
        <f t="shared" si="0"/>
        <v>2950</v>
      </c>
      <c r="H10" s="3">
        <f t="shared" si="1"/>
        <v>20</v>
      </c>
      <c r="I10" s="6">
        <f t="shared" si="2"/>
        <v>14850</v>
      </c>
      <c r="K10" s="1" t="s">
        <v>35</v>
      </c>
      <c r="L10" s="1"/>
    </row>
    <row r="11" spans="1:12" x14ac:dyDescent="0.35">
      <c r="A11" s="2">
        <v>1010</v>
      </c>
      <c r="B11" s="2" t="s">
        <v>3</v>
      </c>
      <c r="C11" s="2" t="s">
        <v>13</v>
      </c>
      <c r="D11" s="2" t="s">
        <v>12</v>
      </c>
      <c r="E11" s="5">
        <v>45615</v>
      </c>
      <c r="F11" s="2">
        <v>1</v>
      </c>
      <c r="G11" s="3">
        <f t="shared" si="0"/>
        <v>3200</v>
      </c>
      <c r="H11" s="3">
        <f t="shared" si="1"/>
        <v>10</v>
      </c>
      <c r="I11" s="6">
        <f t="shared" si="2"/>
        <v>3210</v>
      </c>
      <c r="K11" s="2" t="s">
        <v>0</v>
      </c>
      <c r="L11" s="3">
        <v>15</v>
      </c>
    </row>
    <row r="12" spans="1:12" x14ac:dyDescent="0.35">
      <c r="A12" s="2">
        <v>1011</v>
      </c>
      <c r="B12" s="2" t="s">
        <v>3</v>
      </c>
      <c r="C12" s="2" t="s">
        <v>13</v>
      </c>
      <c r="D12" s="2" t="s">
        <v>15</v>
      </c>
      <c r="E12" s="5">
        <v>45615</v>
      </c>
      <c r="F12" s="2">
        <v>1</v>
      </c>
      <c r="G12" s="3">
        <f t="shared" si="0"/>
        <v>3470</v>
      </c>
      <c r="H12" s="3">
        <f t="shared" si="1"/>
        <v>10</v>
      </c>
      <c r="I12" s="6">
        <f t="shared" si="2"/>
        <v>3480</v>
      </c>
      <c r="K12" s="2" t="s">
        <v>10</v>
      </c>
      <c r="L12" s="3">
        <v>20</v>
      </c>
    </row>
    <row r="13" spans="1:12" x14ac:dyDescent="0.35">
      <c r="A13" s="2">
        <v>1012</v>
      </c>
      <c r="B13" s="2" t="s">
        <v>0</v>
      </c>
      <c r="C13" s="2" t="s">
        <v>1</v>
      </c>
      <c r="D13" s="2" t="s">
        <v>8</v>
      </c>
      <c r="E13" s="5">
        <v>45615</v>
      </c>
      <c r="F13" s="2">
        <v>3</v>
      </c>
      <c r="G13" s="3">
        <f t="shared" si="0"/>
        <v>1790</v>
      </c>
      <c r="H13" s="3">
        <f t="shared" si="1"/>
        <v>15</v>
      </c>
      <c r="I13" s="6">
        <f t="shared" si="2"/>
        <v>5415</v>
      </c>
      <c r="K13" s="2" t="s">
        <v>17</v>
      </c>
      <c r="L13" s="3">
        <v>25</v>
      </c>
    </row>
    <row r="14" spans="1:12" x14ac:dyDescent="0.35">
      <c r="A14" s="2">
        <v>1013</v>
      </c>
      <c r="B14" s="2" t="s">
        <v>3</v>
      </c>
      <c r="C14" s="2" t="s">
        <v>16</v>
      </c>
      <c r="D14" s="2" t="s">
        <v>15</v>
      </c>
      <c r="E14" s="5">
        <v>45616</v>
      </c>
      <c r="F14" s="2">
        <v>5</v>
      </c>
      <c r="G14" s="3">
        <f t="shared" si="0"/>
        <v>3470</v>
      </c>
      <c r="H14" s="3">
        <f t="shared" si="1"/>
        <v>10</v>
      </c>
      <c r="I14" s="6">
        <f t="shared" si="2"/>
        <v>17400</v>
      </c>
      <c r="K14" s="2" t="s">
        <v>6</v>
      </c>
      <c r="L14" s="3">
        <v>15</v>
      </c>
    </row>
    <row r="15" spans="1:12" x14ac:dyDescent="0.35">
      <c r="A15" s="2">
        <v>1014</v>
      </c>
      <c r="B15" s="2" t="s">
        <v>17</v>
      </c>
      <c r="C15" s="2" t="s">
        <v>18</v>
      </c>
      <c r="D15" s="2" t="s">
        <v>12</v>
      </c>
      <c r="E15" s="5">
        <v>45616</v>
      </c>
      <c r="F15" s="2">
        <v>4</v>
      </c>
      <c r="G15" s="3">
        <f t="shared" si="0"/>
        <v>3200</v>
      </c>
      <c r="H15" s="3">
        <f t="shared" si="1"/>
        <v>25</v>
      </c>
      <c r="I15" s="6">
        <f t="shared" si="2"/>
        <v>12900</v>
      </c>
      <c r="K15" s="2" t="s">
        <v>3</v>
      </c>
      <c r="L15" s="3">
        <v>10</v>
      </c>
    </row>
    <row r="16" spans="1:12" x14ac:dyDescent="0.35">
      <c r="A16" s="2">
        <v>1015</v>
      </c>
      <c r="B16" s="2" t="s">
        <v>3</v>
      </c>
      <c r="C16" s="2" t="s">
        <v>16</v>
      </c>
      <c r="D16" s="2" t="s">
        <v>5</v>
      </c>
      <c r="E16" s="5">
        <v>45616</v>
      </c>
      <c r="F16" s="2">
        <v>5</v>
      </c>
      <c r="G16" s="3">
        <f t="shared" si="0"/>
        <v>45</v>
      </c>
      <c r="H16" s="3">
        <f t="shared" si="1"/>
        <v>10</v>
      </c>
      <c r="I16" s="6">
        <f t="shared" si="2"/>
        <v>275</v>
      </c>
    </row>
    <row r="17" spans="1:9" x14ac:dyDescent="0.35">
      <c r="A17" s="2">
        <v>1016</v>
      </c>
      <c r="B17" s="2" t="s">
        <v>3</v>
      </c>
      <c r="C17" s="2" t="s">
        <v>19</v>
      </c>
      <c r="D17" s="2" t="s">
        <v>8</v>
      </c>
      <c r="E17" s="5">
        <v>45616</v>
      </c>
      <c r="F17" s="2">
        <v>4</v>
      </c>
      <c r="G17" s="3">
        <f t="shared" si="0"/>
        <v>1790</v>
      </c>
      <c r="H17" s="3">
        <f t="shared" si="1"/>
        <v>10</v>
      </c>
      <c r="I17" s="6">
        <f t="shared" si="2"/>
        <v>7200</v>
      </c>
    </row>
    <row r="18" spans="1:9" x14ac:dyDescent="0.35">
      <c r="A18" s="2">
        <v>1017</v>
      </c>
      <c r="B18" s="2" t="s">
        <v>3</v>
      </c>
      <c r="C18" s="2" t="s">
        <v>19</v>
      </c>
      <c r="D18" s="2" t="s">
        <v>5</v>
      </c>
      <c r="E18" s="5">
        <v>45616</v>
      </c>
      <c r="F18" s="2">
        <v>1</v>
      </c>
      <c r="G18" s="3">
        <f t="shared" si="0"/>
        <v>45</v>
      </c>
      <c r="H18" s="3">
        <f t="shared" si="1"/>
        <v>10</v>
      </c>
      <c r="I18" s="6">
        <f t="shared" si="2"/>
        <v>55</v>
      </c>
    </row>
    <row r="19" spans="1:9" x14ac:dyDescent="0.35">
      <c r="A19" s="2">
        <v>1018</v>
      </c>
      <c r="B19" s="2" t="s">
        <v>6</v>
      </c>
      <c r="C19" s="2" t="s">
        <v>20</v>
      </c>
      <c r="D19" s="2" t="s">
        <v>2</v>
      </c>
      <c r="E19" s="5">
        <v>45616</v>
      </c>
      <c r="F19" s="2">
        <v>2</v>
      </c>
      <c r="G19" s="3">
        <f t="shared" si="0"/>
        <v>8300</v>
      </c>
      <c r="H19" s="3">
        <f t="shared" si="1"/>
        <v>15</v>
      </c>
      <c r="I19" s="6">
        <f t="shared" si="2"/>
        <v>16630</v>
      </c>
    </row>
    <row r="20" spans="1:9" x14ac:dyDescent="0.35">
      <c r="A20" s="2">
        <v>1019</v>
      </c>
      <c r="B20" s="2" t="s">
        <v>6</v>
      </c>
      <c r="C20" s="2" t="s">
        <v>20</v>
      </c>
      <c r="D20" s="2" t="s">
        <v>8</v>
      </c>
      <c r="E20" s="5">
        <v>45616</v>
      </c>
      <c r="F20" s="2">
        <v>5</v>
      </c>
      <c r="G20" s="3">
        <f t="shared" si="0"/>
        <v>1790</v>
      </c>
      <c r="H20" s="3">
        <f t="shared" si="1"/>
        <v>15</v>
      </c>
      <c r="I20" s="6">
        <f t="shared" si="2"/>
        <v>9025</v>
      </c>
    </row>
    <row r="21" spans="1:9" x14ac:dyDescent="0.35">
      <c r="A21" s="2">
        <v>1020</v>
      </c>
      <c r="B21" s="2" t="s">
        <v>6</v>
      </c>
      <c r="C21" s="2" t="s">
        <v>20</v>
      </c>
      <c r="D21" s="2" t="s">
        <v>2</v>
      </c>
      <c r="E21" s="5">
        <v>45616</v>
      </c>
      <c r="F21" s="2">
        <v>1</v>
      </c>
      <c r="G21" s="3">
        <f t="shared" si="0"/>
        <v>8300</v>
      </c>
      <c r="H21" s="3">
        <f t="shared" si="1"/>
        <v>15</v>
      </c>
      <c r="I21" s="6">
        <f t="shared" si="2"/>
        <v>8315</v>
      </c>
    </row>
    <row r="22" spans="1:9" x14ac:dyDescent="0.35">
      <c r="A22" s="2">
        <v>1021</v>
      </c>
      <c r="B22" s="2" t="s">
        <v>3</v>
      </c>
      <c r="C22" s="2" t="s">
        <v>4</v>
      </c>
      <c r="D22" s="2" t="s">
        <v>8</v>
      </c>
      <c r="E22" s="5">
        <v>45617</v>
      </c>
      <c r="F22" s="2">
        <v>5</v>
      </c>
      <c r="G22" s="3">
        <f t="shared" si="0"/>
        <v>1790</v>
      </c>
      <c r="H22" s="3">
        <f t="shared" si="1"/>
        <v>10</v>
      </c>
      <c r="I22" s="6">
        <f t="shared" si="2"/>
        <v>9000</v>
      </c>
    </row>
    <row r="23" spans="1:9" x14ac:dyDescent="0.35">
      <c r="A23" s="2">
        <v>1022</v>
      </c>
      <c r="B23" s="2" t="s">
        <v>3</v>
      </c>
      <c r="C23" s="2" t="s">
        <v>4</v>
      </c>
      <c r="D23" s="2" t="s">
        <v>12</v>
      </c>
      <c r="E23" s="5">
        <v>45617</v>
      </c>
      <c r="F23" s="2">
        <v>1</v>
      </c>
      <c r="G23" s="3">
        <f t="shared" si="0"/>
        <v>3200</v>
      </c>
      <c r="H23" s="3">
        <f t="shared" si="1"/>
        <v>10</v>
      </c>
      <c r="I23" s="6">
        <f t="shared" si="2"/>
        <v>3210</v>
      </c>
    </row>
    <row r="24" spans="1:9" x14ac:dyDescent="0.35">
      <c r="A24" s="2">
        <v>1023</v>
      </c>
      <c r="B24" s="2" t="s">
        <v>6</v>
      </c>
      <c r="C24" s="2" t="s">
        <v>7</v>
      </c>
      <c r="D24" s="2" t="s">
        <v>15</v>
      </c>
      <c r="E24" s="5">
        <v>45617</v>
      </c>
      <c r="F24" s="2">
        <v>2</v>
      </c>
      <c r="G24" s="3">
        <f t="shared" si="0"/>
        <v>3470</v>
      </c>
      <c r="H24" s="3">
        <f t="shared" si="1"/>
        <v>15</v>
      </c>
      <c r="I24" s="6">
        <f t="shared" si="2"/>
        <v>6970</v>
      </c>
    </row>
    <row r="25" spans="1:9" x14ac:dyDescent="0.35">
      <c r="A25" s="2">
        <v>1024</v>
      </c>
      <c r="B25" s="2" t="s">
        <v>3</v>
      </c>
      <c r="C25" s="2" t="s">
        <v>4</v>
      </c>
      <c r="D25" s="2" t="s">
        <v>8</v>
      </c>
      <c r="E25" s="5">
        <v>45617</v>
      </c>
      <c r="F25" s="2">
        <v>5</v>
      </c>
      <c r="G25" s="3">
        <f t="shared" si="0"/>
        <v>1790</v>
      </c>
      <c r="H25" s="3">
        <f t="shared" si="1"/>
        <v>10</v>
      </c>
      <c r="I25" s="6">
        <f t="shared" si="2"/>
        <v>9000</v>
      </c>
    </row>
    <row r="26" spans="1:9" x14ac:dyDescent="0.35">
      <c r="A26" s="2">
        <v>1025</v>
      </c>
      <c r="B26" s="2" t="s">
        <v>3</v>
      </c>
      <c r="C26" s="2" t="s">
        <v>13</v>
      </c>
      <c r="D26" s="2" t="s">
        <v>8</v>
      </c>
      <c r="E26" s="5">
        <v>45617</v>
      </c>
      <c r="F26" s="2">
        <v>5</v>
      </c>
      <c r="G26" s="3">
        <f t="shared" si="0"/>
        <v>1790</v>
      </c>
      <c r="H26" s="3">
        <f t="shared" si="1"/>
        <v>10</v>
      </c>
      <c r="I26" s="6">
        <f t="shared" si="2"/>
        <v>9000</v>
      </c>
    </row>
    <row r="27" spans="1:9" x14ac:dyDescent="0.35">
      <c r="A27" s="2">
        <v>1026</v>
      </c>
      <c r="B27" s="2" t="s">
        <v>3</v>
      </c>
      <c r="C27" s="2" t="s">
        <v>13</v>
      </c>
      <c r="D27" s="2" t="s">
        <v>15</v>
      </c>
      <c r="E27" s="5">
        <v>45617</v>
      </c>
      <c r="F27" s="2">
        <v>3</v>
      </c>
      <c r="G27" s="3">
        <f t="shared" si="0"/>
        <v>3470</v>
      </c>
      <c r="H27" s="3">
        <f t="shared" si="1"/>
        <v>10</v>
      </c>
      <c r="I27" s="6">
        <f t="shared" si="2"/>
        <v>10440</v>
      </c>
    </row>
    <row r="28" spans="1:9" x14ac:dyDescent="0.35">
      <c r="A28" s="2">
        <v>1027</v>
      </c>
      <c r="B28" s="2" t="s">
        <v>3</v>
      </c>
      <c r="C28" s="2" t="s">
        <v>16</v>
      </c>
      <c r="D28" s="2" t="s">
        <v>8</v>
      </c>
      <c r="E28" s="5">
        <v>45617</v>
      </c>
      <c r="F28" s="2">
        <v>3</v>
      </c>
      <c r="G28" s="3">
        <f t="shared" si="0"/>
        <v>1790</v>
      </c>
      <c r="H28" s="3">
        <f t="shared" si="1"/>
        <v>10</v>
      </c>
      <c r="I28" s="6">
        <f t="shared" si="2"/>
        <v>5400</v>
      </c>
    </row>
    <row r="29" spans="1:9" x14ac:dyDescent="0.35">
      <c r="A29" s="2">
        <v>1028</v>
      </c>
      <c r="B29" s="2" t="s">
        <v>3</v>
      </c>
      <c r="C29" s="2" t="s">
        <v>16</v>
      </c>
      <c r="D29" s="2" t="s">
        <v>2</v>
      </c>
      <c r="E29" s="5">
        <v>45617</v>
      </c>
      <c r="F29" s="2">
        <v>1</v>
      </c>
      <c r="G29" s="3">
        <f t="shared" si="0"/>
        <v>8300</v>
      </c>
      <c r="H29" s="3">
        <f t="shared" si="1"/>
        <v>10</v>
      </c>
      <c r="I29" s="6">
        <f t="shared" si="2"/>
        <v>8310</v>
      </c>
    </row>
    <row r="30" spans="1:9" x14ac:dyDescent="0.35">
      <c r="A30" s="2">
        <v>1029</v>
      </c>
      <c r="B30" s="2" t="s">
        <v>10</v>
      </c>
      <c r="C30" s="2" t="s">
        <v>11</v>
      </c>
      <c r="D30" s="2" t="s">
        <v>5</v>
      </c>
      <c r="E30" s="5">
        <v>45617</v>
      </c>
      <c r="F30" s="2">
        <v>3</v>
      </c>
      <c r="G30" s="3">
        <f t="shared" si="0"/>
        <v>45</v>
      </c>
      <c r="H30" s="3">
        <f t="shared" si="1"/>
        <v>20</v>
      </c>
      <c r="I30" s="6">
        <f t="shared" si="2"/>
        <v>195</v>
      </c>
    </row>
    <row r="31" spans="1:9" x14ac:dyDescent="0.35">
      <c r="I31" s="7">
        <f>SUM(I2:I30)</f>
        <v>245355</v>
      </c>
    </row>
  </sheetData>
  <mergeCells count="2">
    <mergeCell ref="K1:L1"/>
    <mergeCell ref="K10:L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00EE-5146-4EAF-85A8-5532D708C416}">
  <dimension ref="A1:I6"/>
  <sheetViews>
    <sheetView tabSelected="1" zoomScale="160" zoomScaleNormal="160" workbookViewId="0">
      <selection activeCell="F2" sqref="F2:I2"/>
    </sheetView>
  </sheetViews>
  <sheetFormatPr defaultRowHeight="14.5" x14ac:dyDescent="0.35"/>
  <sheetData>
    <row r="1" spans="1:9" ht="23" x14ac:dyDescent="0.35">
      <c r="A1" s="8" t="s">
        <v>36</v>
      </c>
      <c r="B1" s="8" t="s">
        <v>37</v>
      </c>
      <c r="C1" s="8" t="s">
        <v>38</v>
      </c>
      <c r="D1" s="8" t="s">
        <v>39</v>
      </c>
      <c r="F1" s="11" t="s">
        <v>50</v>
      </c>
      <c r="G1" s="11" t="s">
        <v>51</v>
      </c>
      <c r="H1" s="11" t="s">
        <v>38</v>
      </c>
      <c r="I1" s="11" t="s">
        <v>39</v>
      </c>
    </row>
    <row r="2" spans="1:9" x14ac:dyDescent="0.35">
      <c r="A2" s="9">
        <v>1001</v>
      </c>
      <c r="B2" s="9" t="s">
        <v>40</v>
      </c>
      <c r="C2" s="9" t="s">
        <v>41</v>
      </c>
      <c r="D2" s="9">
        <v>4500</v>
      </c>
      <c r="F2">
        <v>1003</v>
      </c>
      <c r="G2" t="str">
        <f>VLOOKUP(F2,A2:D6,2)</f>
        <v>João</v>
      </c>
    </row>
    <row r="3" spans="1:9" x14ac:dyDescent="0.35">
      <c r="A3" s="10">
        <v>1002</v>
      </c>
      <c r="B3" s="10" t="s">
        <v>42</v>
      </c>
      <c r="C3" s="10" t="s">
        <v>43</v>
      </c>
      <c r="D3" s="10">
        <v>8500</v>
      </c>
    </row>
    <row r="4" spans="1:9" x14ac:dyDescent="0.35">
      <c r="A4" s="9">
        <v>1003</v>
      </c>
      <c r="B4" s="9" t="s">
        <v>44</v>
      </c>
      <c r="C4" s="9" t="s">
        <v>45</v>
      </c>
      <c r="D4" s="9">
        <v>3000</v>
      </c>
    </row>
    <row r="5" spans="1:9" x14ac:dyDescent="0.35">
      <c r="A5" s="10">
        <v>1004</v>
      </c>
      <c r="B5" s="10" t="s">
        <v>46</v>
      </c>
      <c r="C5" s="10" t="s">
        <v>47</v>
      </c>
      <c r="D5" s="10">
        <v>5000</v>
      </c>
    </row>
    <row r="6" spans="1:9" x14ac:dyDescent="0.35">
      <c r="A6" s="9">
        <v>1005</v>
      </c>
      <c r="B6" s="9" t="s">
        <v>48</v>
      </c>
      <c r="C6" s="9" t="s">
        <v>49</v>
      </c>
      <c r="D6" s="9">
        <v>12000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Spoljaric</dc:creator>
  <cp:lastModifiedBy>Luis Fernando Spoljaric</cp:lastModifiedBy>
  <dcterms:created xsi:type="dcterms:W3CDTF">2026-10-01T13:14:39Z</dcterms:created>
  <dcterms:modified xsi:type="dcterms:W3CDTF">2026-10-01T14:20:16Z</dcterms:modified>
</cp:coreProperties>
</file>