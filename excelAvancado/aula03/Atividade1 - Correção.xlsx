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Prof. Luis\Downloads\"/>
    </mc:Choice>
  </mc:AlternateContent>
  <xr:revisionPtr revIDLastSave="0" documentId="13_ncr:1_{5E5129B2-93D2-46ED-A572-81C48209B7E6}" xr6:coauthVersionLast="47" xr6:coauthVersionMax="47" xr10:uidLastSave="{00000000-0000-0000-0000-000000000000}"/>
  <bookViews>
    <workbookView xWindow="-110" yWindow="-110" windowWidth="19420" windowHeight="10300" xr2:uid="{1B84F655-7CFC-4B36-B908-0234E9DA85DA}"/>
  </bookViews>
  <sheets>
    <sheet name="DADOS" sheetId="1" r:id="rId1"/>
    <sheet name="DASHBOARD" sheetId="2" r:id="rId2"/>
  </sheets>
  <definedNames>
    <definedName name="NativeTimeline_Data">#N/A</definedName>
    <definedName name="SegmentaçãodeDados_Produto">#N/A</definedName>
    <definedName name="SegmentaçãodeDados_Região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G4" i="1"/>
  <c r="G5" i="1"/>
  <c r="G6" i="1"/>
  <c r="I6" i="1" s="1"/>
  <c r="G7" i="1"/>
  <c r="I7" i="1" s="1"/>
  <c r="G8" i="1"/>
  <c r="I8" i="1" s="1"/>
  <c r="G9" i="1"/>
  <c r="G10" i="1"/>
  <c r="G11" i="1"/>
  <c r="G12" i="1"/>
  <c r="G13" i="1"/>
  <c r="G14" i="1"/>
  <c r="I14" i="1" s="1"/>
  <c r="G15" i="1"/>
  <c r="I15" i="1" s="1"/>
  <c r="G16" i="1"/>
  <c r="I16" i="1" s="1"/>
  <c r="G17" i="1"/>
  <c r="I17" i="1" s="1"/>
  <c r="G18" i="1"/>
  <c r="I18" i="1" s="1"/>
  <c r="G19" i="1"/>
  <c r="G20" i="1"/>
  <c r="I20" i="1" s="1"/>
  <c r="G21" i="1"/>
  <c r="I21" i="1" s="1"/>
  <c r="G22" i="1"/>
  <c r="I22" i="1" s="1"/>
  <c r="G23" i="1"/>
  <c r="G24" i="1"/>
  <c r="G25" i="1"/>
  <c r="G26" i="1"/>
  <c r="G27" i="1"/>
  <c r="G28" i="1"/>
  <c r="G29" i="1"/>
  <c r="G30" i="1"/>
  <c r="G31" i="1"/>
  <c r="G3" i="1"/>
  <c r="I19" i="1" l="1"/>
  <c r="I5" i="1"/>
  <c r="I32" i="1" s="1"/>
  <c r="I13" i="1"/>
  <c r="I4" i="1"/>
  <c r="I3" i="1"/>
  <c r="I12" i="1"/>
  <c r="I31" i="1"/>
  <c r="I11" i="1"/>
  <c r="I30" i="1"/>
  <c r="I10" i="1"/>
  <c r="I29" i="1"/>
  <c r="I9" i="1"/>
  <c r="I28" i="1"/>
  <c r="I27" i="1"/>
  <c r="I26" i="1"/>
  <c r="I25" i="1"/>
  <c r="I24" i="1"/>
  <c r="I23" i="1"/>
</calcChain>
</file>

<file path=xl/sharedStrings.xml><?xml version="1.0" encoding="utf-8"?>
<sst xmlns="http://schemas.openxmlformats.org/spreadsheetml/2006/main" count="133" uniqueCount="36">
  <si>
    <t>Pedido</t>
  </si>
  <si>
    <t>Região</t>
  </si>
  <si>
    <t>Estado</t>
  </si>
  <si>
    <t>Data</t>
  </si>
  <si>
    <t>Quantidade</t>
  </si>
  <si>
    <t>Valor unitário</t>
  </si>
  <si>
    <t>Frete</t>
  </si>
  <si>
    <t>Total</t>
  </si>
  <si>
    <t>Tabela de preços</t>
  </si>
  <si>
    <t>Valores de Frete</t>
  </si>
  <si>
    <t>Região Centro-Oeste</t>
  </si>
  <si>
    <t>Região Nordeste</t>
  </si>
  <si>
    <t>Região Norte</t>
  </si>
  <si>
    <t>Região Sul</t>
  </si>
  <si>
    <t>Região Sudeste</t>
  </si>
  <si>
    <t>Pen Drive 32GB</t>
  </si>
  <si>
    <t>Monitor OLED 33"</t>
  </si>
  <si>
    <t>Smartphone Android</t>
  </si>
  <si>
    <t>SmartTV TV 50" 4K</t>
  </si>
  <si>
    <t>TV 48" 4K</t>
  </si>
  <si>
    <t>TV 60" 4K</t>
  </si>
  <si>
    <t>Smartphone iOS</t>
  </si>
  <si>
    <t>GO</t>
  </si>
  <si>
    <t>SP</t>
  </si>
  <si>
    <t>RS</t>
  </si>
  <si>
    <t>BA</t>
  </si>
  <si>
    <t>RJ</t>
  </si>
  <si>
    <t>MG</t>
  </si>
  <si>
    <t>AM</t>
  </si>
  <si>
    <t>ES</t>
  </si>
  <si>
    <t>PR</t>
  </si>
  <si>
    <t>Dashboard de Faturamento Semanal</t>
  </si>
  <si>
    <t>Rótulos de Linha</t>
  </si>
  <si>
    <t>Total Geral</t>
  </si>
  <si>
    <t>Soma de Total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</si>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</sst>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2" fillId="2" borderId="1" xfId="0" applyFont="1" applyFill="1" applyBorder="1"/>
    <xf numFmtId="44" fontId="2" fillId="2" borderId="1" xfId="1" applyFont="1" applyFill="1" applyBorder="1"/>
    <xf numFmtId="14" fontId="0" fillId="0" borderId="1" xfId="0" applyNumberFormat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44" fontId="0" fillId="4" borderId="0" xfId="0" applyNumberFormat="1" applyFill="1"/>
    <xf numFmtId="0" fontId="0" fillId="4" borderId="0" xfId="0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</cellXfs>
  <cellStyles count="2">
    <cellStyle name="Moeda" xfId="1" builtinId="4"/>
    <cellStyle name="Normal" xfId="0" builtinId="0"/>
  </cellStyles>
  <dxfs count="18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[JAIME DE JESUS ALBUNIO.xlsx]DASHBOARD!Tabela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DASHBOARD!$X$5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DASHBOARD!$W$6:$W$11</c:f>
              <c:strCache>
                <c:ptCount val="5"/>
                <c:pt idx="0">
                  <c:v>Região Centro-Oeste</c:v>
                </c:pt>
                <c:pt idx="1">
                  <c:v>Região Nordeste</c:v>
                </c:pt>
                <c:pt idx="2">
                  <c:v>Região Norte</c:v>
                </c:pt>
                <c:pt idx="3">
                  <c:v>Região Sudeste</c:v>
                </c:pt>
                <c:pt idx="4">
                  <c:v>Região Sul</c:v>
                </c:pt>
              </c:strCache>
            </c:strRef>
          </c:cat>
          <c:val>
            <c:numRef>
              <c:f>DASHBOARD!$X$6:$X$11</c:f>
              <c:numCache>
                <c:formatCode>_("R$"* #,##0.00_);_("R$"* \(#,##0.00\);_("R$"* "-"??_);_(@_)</c:formatCode>
                <c:ptCount val="5"/>
                <c:pt idx="0">
                  <c:v>38675</c:v>
                </c:pt>
                <c:pt idx="1">
                  <c:v>27925</c:v>
                </c:pt>
                <c:pt idx="2">
                  <c:v>12900</c:v>
                </c:pt>
                <c:pt idx="3">
                  <c:v>106480</c:v>
                </c:pt>
                <c:pt idx="4">
                  <c:v>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E9-4A0C-8E0B-0F63D005A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615103"/>
        <c:axId val="1833602143"/>
      </c:barChart>
      <c:catAx>
        <c:axId val="183361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3602143"/>
        <c:crosses val="autoZero"/>
        <c:auto val="1"/>
        <c:lblAlgn val="ctr"/>
        <c:lblOffset val="100"/>
        <c:noMultiLvlLbl val="0"/>
      </c:catAx>
      <c:valAx>
        <c:axId val="183360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361510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[JAIME DE JESUS ALBUNIO.xlsx]DASHBOARD!Tabela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DASHBOARD!$AA$5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DASHBOARD!$Z$6:$Z$13</c:f>
              <c:strCache>
                <c:ptCount val="7"/>
                <c:pt idx="0">
                  <c:v>Monitor OLED 33"</c:v>
                </c:pt>
                <c:pt idx="1">
                  <c:v>Pen Drive 32GB</c:v>
                </c:pt>
                <c:pt idx="2">
                  <c:v>Smartphone Android</c:v>
                </c:pt>
                <c:pt idx="3">
                  <c:v>Smartphone iOS</c:v>
                </c:pt>
                <c:pt idx="4">
                  <c:v>SmartTV TV 50" 4K</c:v>
                </c:pt>
                <c:pt idx="5">
                  <c:v>TV 48" 4K</c:v>
                </c:pt>
                <c:pt idx="6">
                  <c:v>TV 60" 4K</c:v>
                </c:pt>
              </c:strCache>
            </c:strRef>
          </c:cat>
          <c:val>
            <c:numRef>
              <c:f>DASHBOARD!$AA$6:$AA$13</c:f>
              <c:numCache>
                <c:formatCode>_("R$"* #,##0.00_);_("R$"* \(#,##0.00\);_("R$"* "-"??_);_(@_)</c:formatCode>
                <c:ptCount val="7"/>
                <c:pt idx="0">
                  <c:v>55845</c:v>
                </c:pt>
                <c:pt idx="1">
                  <c:v>745</c:v>
                </c:pt>
                <c:pt idx="2">
                  <c:v>32200</c:v>
                </c:pt>
                <c:pt idx="3">
                  <c:v>83145</c:v>
                </c:pt>
                <c:pt idx="4">
                  <c:v>23730</c:v>
                </c:pt>
                <c:pt idx="5">
                  <c:v>11400</c:v>
                </c:pt>
                <c:pt idx="6">
                  <c:v>38290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D-4527-85AB-CAAE64C3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9247871"/>
        <c:axId val="1869245951"/>
      </c:barChart>
      <c:catAx>
        <c:axId val="186924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45951"/>
        <c:crosses val="autoZero"/>
        <c:auto val="1"/>
        <c:lblAlgn val="ctr"/>
        <c:lblOffset val="100"/>
        <c:noMultiLvlLbl val="0"/>
      </c:catAx>
      <c:valAx>
        <c:axId val="186924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4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[JAIME DE JESUS ALBUNIO.xlsx]DASHBOARD!Tabela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DASHBOARD!$AD$5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4-4A10-A95A-0577D0751A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74-4A10-A95A-0577D0751A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74-4A10-A95A-0577D0751A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D74-4A10-A95A-0577D0751A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74-4A10-A95A-0577D0751A99}"/>
              </c:ext>
            </c:extLst>
          </c:dPt>
          <c:cat>
            <c:strRef>
              <c:f>DASHBOARD!$AC$6:$AC$11</c:f>
              <c:strCache>
                <c:ptCount val="5"/>
                <c:pt idx="0">
                  <c:v>17/11/2024</c:v>
                </c:pt>
                <c:pt idx="1">
                  <c:v>18/11/2024</c:v>
                </c:pt>
                <c:pt idx="2">
                  <c:v>19/11/2024</c:v>
                </c:pt>
                <c:pt idx="3">
                  <c:v>20/11/2024</c:v>
                </c:pt>
                <c:pt idx="4">
                  <c:v>21/11/2024</c:v>
                </c:pt>
              </c:strCache>
            </c:strRef>
          </c:cat>
          <c:val>
            <c:numRef>
              <c:f>DASHBOARD!$AD$6:$AD$11</c:f>
              <c:numCache>
                <c:formatCode>_("R$"* #,##0.00_);_("R$"* \(#,##0.00\);_("R$"* "-"??_);_(@_)</c:formatCode>
                <c:ptCount val="5"/>
                <c:pt idx="0">
                  <c:v>50110</c:v>
                </c:pt>
                <c:pt idx="1">
                  <c:v>23565</c:v>
                </c:pt>
                <c:pt idx="2">
                  <c:v>38355</c:v>
                </c:pt>
                <c:pt idx="3">
                  <c:v>71800</c:v>
                </c:pt>
                <c:pt idx="4">
                  <c:v>61525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D-4864-90D1-E0570A512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157162</xdr:rowOff>
    </xdr:from>
    <xdr:to>
      <xdr:col>6</xdr:col>
      <xdr:colOff>523875</xdr:colOff>
      <xdr:row>17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1B1BA9B-AAB9-19A1-381A-A94A7841A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2</xdr:row>
      <xdr:rowOff>185736</xdr:rowOff>
    </xdr:from>
    <xdr:to>
      <xdr:col>18</xdr:col>
      <xdr:colOff>590550</xdr:colOff>
      <xdr:row>17</xdr:row>
      <xdr:rowOff>76199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D756785-4280-9AD1-B078-72402A1F1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18</xdr:row>
      <xdr:rowOff>157162</xdr:rowOff>
    </xdr:from>
    <xdr:to>
      <xdr:col>6</xdr:col>
      <xdr:colOff>514350</xdr:colOff>
      <xdr:row>33</xdr:row>
      <xdr:rowOff>42862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7ED1B5E-4E83-DEB9-ED4E-7FF636497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276225</xdr:colOff>
      <xdr:row>18</xdr:row>
      <xdr:rowOff>123825</xdr:rowOff>
    </xdr:from>
    <xdr:to>
      <xdr:col>9</xdr:col>
      <xdr:colOff>809625</xdr:colOff>
      <xdr:row>32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ão">
              <a:extLst>
                <a:ext uri="{FF2B5EF4-FFF2-40B4-BE49-F238E27FC236}">
                  <a16:creationId xmlns:a16="http://schemas.microsoft.com/office/drawing/2014/main" id="{534BF996-AA71-77AF-7795-AB6D110470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0" y="37242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95250</xdr:colOff>
      <xdr:row>18</xdr:row>
      <xdr:rowOff>123825</xdr:rowOff>
    </xdr:from>
    <xdr:to>
      <xdr:col>13</xdr:col>
      <xdr:colOff>95250</xdr:colOff>
      <xdr:row>32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to">
              <a:extLst>
                <a:ext uri="{FF2B5EF4-FFF2-40B4-BE49-F238E27FC236}">
                  <a16:creationId xmlns:a16="http://schemas.microsoft.com/office/drawing/2014/main" id="{E7FBD378-86DD-9AEB-34B1-E0D9A5399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650" y="37242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314325</xdr:colOff>
      <xdr:row>18</xdr:row>
      <xdr:rowOff>133350</xdr:rowOff>
    </xdr:from>
    <xdr:to>
      <xdr:col>18</xdr:col>
      <xdr:colOff>600075</xdr:colOff>
      <xdr:row>25</xdr:row>
      <xdr:rowOff>171450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3" name="Data">
              <a:extLst>
                <a:ext uri="{FF2B5EF4-FFF2-40B4-BE49-F238E27FC236}">
                  <a16:creationId xmlns:a16="http://schemas.microsoft.com/office/drawing/2014/main" id="{8871CD8F-15C3-F1FF-FFF6-9C35F2F31D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96525" y="37338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5845.788613078701" createdVersion="8" refreshedVersion="8" minRefreshableVersion="3" recordCount="29" xr:uid="{A86F591E-51F3-4033-B873-0777E04F14B1}">
  <cacheSource type="worksheet">
    <worksheetSource ref="A2:I31" sheet="DADOS"/>
  </cacheSource>
  <cacheFields count="9">
    <cacheField name="Pedido" numFmtId="0">
      <sharedItems containsSemiMixedTypes="0" containsString="0" containsNumber="1" containsInteger="1" minValue="1001" maxValue="1029"/>
    </cacheField>
    <cacheField name="Região" numFmtId="0">
      <sharedItems count="5">
        <s v="Região Centro-Oeste"/>
        <s v="Região Sudeste"/>
        <s v="Região Sul"/>
        <s v="Região Nordeste"/>
        <s v="Região Norte"/>
      </sharedItems>
    </cacheField>
    <cacheField name="Estado" numFmtId="0">
      <sharedItems/>
    </cacheField>
    <cacheField name="Produto" numFmtId="0">
      <sharedItems count="7">
        <s v="Smartphone iOS"/>
        <s v="Pen Drive 32GB"/>
        <s v="Monitor OLED 33&quot;"/>
        <s v="SmartTV TV 50&quot; 4K"/>
        <s v="Smartphone Android"/>
        <s v="TV 48&quot; 4K"/>
        <s v="TV 60&quot; 4K"/>
      </sharedItems>
    </cacheField>
    <cacheField name="Data" numFmtId="14">
      <sharedItems containsSemiMixedTypes="0" containsNonDate="0" containsDate="1" containsString="0" minDate="2024-11-17T00:00:00" maxDate="2024-11-22T00:00:00" count="5">
        <d v="2024-11-17T00:00:00"/>
        <d v="2024-11-18T00:00:00"/>
        <d v="2024-11-19T00:00:00"/>
        <d v="2024-11-20T00:00:00"/>
        <d v="2024-11-21T00:00:00"/>
      </sharedItems>
    </cacheField>
    <cacheField name="Quantidade" numFmtId="0">
      <sharedItems containsSemiMixedTypes="0" containsString="0" containsNumber="1" containsInteger="1" minValue="1" maxValue="5"/>
    </cacheField>
    <cacheField name="Valor unitário" numFmtId="44">
      <sharedItems containsSemiMixedTypes="0" containsString="0" containsNumber="1" containsInteger="1" minValue="45" maxValue="8300"/>
    </cacheField>
    <cacheField name="Frete" numFmtId="44">
      <sharedItems containsSemiMixedTypes="0" containsString="0" containsNumber="1" containsInteger="1" minValue="10" maxValue="25"/>
    </cacheField>
    <cacheField name="Total" numFmtId="44">
      <sharedItems containsSemiMixedTypes="0" containsString="0" containsNumber="1" containsInteger="1" minValue="55" maxValue="33260"/>
    </cacheField>
  </cacheFields>
  <extLst>
    <ext xmlns:x14="http://schemas.microsoft.com/office/spreadsheetml/2009/9/main" uri="{725AE2AE-9491-48be-B2B4-4EB974FC3084}">
      <x14:pivotCacheDefinition pivotCacheId="10832851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001"/>
    <x v="0"/>
    <s v="GO"/>
    <x v="0"/>
    <x v="0"/>
    <n v="4"/>
    <n v="8300"/>
    <n v="15"/>
    <n v="33260"/>
  </r>
  <r>
    <n v="1002"/>
    <x v="1"/>
    <s v="SP"/>
    <x v="1"/>
    <x v="0"/>
    <n v="4"/>
    <n v="45"/>
    <n v="10"/>
    <n v="220"/>
  </r>
  <r>
    <n v="1003"/>
    <x v="2"/>
    <s v="RS"/>
    <x v="0"/>
    <x v="0"/>
    <n v="2"/>
    <n v="8300"/>
    <n v="15"/>
    <n v="16630"/>
  </r>
  <r>
    <n v="1004"/>
    <x v="2"/>
    <s v="RS"/>
    <x v="2"/>
    <x v="1"/>
    <n v="1"/>
    <n v="1790"/>
    <n v="15"/>
    <n v="1805"/>
  </r>
  <r>
    <n v="1005"/>
    <x v="1"/>
    <s v="SP"/>
    <x v="3"/>
    <x v="1"/>
    <n v="1"/>
    <n v="2950"/>
    <n v="10"/>
    <n v="2960"/>
  </r>
  <r>
    <n v="1006"/>
    <x v="3"/>
    <s v="BA"/>
    <x v="4"/>
    <x v="1"/>
    <n v="4"/>
    <n v="3200"/>
    <n v="20"/>
    <n v="12880"/>
  </r>
  <r>
    <n v="1007"/>
    <x v="1"/>
    <s v="SP"/>
    <x v="3"/>
    <x v="1"/>
    <n v="2"/>
    <n v="2950"/>
    <n v="10"/>
    <n v="5920"/>
  </r>
  <r>
    <n v="1008"/>
    <x v="1"/>
    <s v="RJ"/>
    <x v="5"/>
    <x v="2"/>
    <n v="4"/>
    <n v="2840"/>
    <n v="10"/>
    <n v="11400"/>
  </r>
  <r>
    <n v="1009"/>
    <x v="3"/>
    <s v="BA"/>
    <x v="3"/>
    <x v="2"/>
    <n v="5"/>
    <n v="2950"/>
    <n v="20"/>
    <n v="14850"/>
  </r>
  <r>
    <n v="1010"/>
    <x v="1"/>
    <s v="RJ"/>
    <x v="4"/>
    <x v="2"/>
    <n v="1"/>
    <n v="3200"/>
    <n v="10"/>
    <n v="3210"/>
  </r>
  <r>
    <n v="1011"/>
    <x v="1"/>
    <s v="RJ"/>
    <x v="6"/>
    <x v="2"/>
    <n v="1"/>
    <n v="3470"/>
    <n v="10"/>
    <n v="3480"/>
  </r>
  <r>
    <n v="1012"/>
    <x v="0"/>
    <s v="GO"/>
    <x v="2"/>
    <x v="2"/>
    <n v="3"/>
    <n v="1790"/>
    <n v="15"/>
    <n v="5415"/>
  </r>
  <r>
    <n v="1013"/>
    <x v="1"/>
    <s v="MG"/>
    <x v="6"/>
    <x v="3"/>
    <n v="5"/>
    <n v="3470"/>
    <n v="10"/>
    <n v="17400"/>
  </r>
  <r>
    <n v="1014"/>
    <x v="4"/>
    <s v="AM"/>
    <x v="4"/>
    <x v="3"/>
    <n v="4"/>
    <n v="3200"/>
    <n v="25"/>
    <n v="12900"/>
  </r>
  <r>
    <n v="1015"/>
    <x v="1"/>
    <s v="MG"/>
    <x v="1"/>
    <x v="3"/>
    <n v="5"/>
    <n v="45"/>
    <n v="10"/>
    <n v="275"/>
  </r>
  <r>
    <n v="1016"/>
    <x v="1"/>
    <s v="ES"/>
    <x v="2"/>
    <x v="3"/>
    <n v="4"/>
    <n v="1790"/>
    <n v="10"/>
    <n v="7200"/>
  </r>
  <r>
    <n v="1017"/>
    <x v="1"/>
    <s v="ES"/>
    <x v="1"/>
    <x v="3"/>
    <n v="1"/>
    <n v="45"/>
    <n v="10"/>
    <n v="55"/>
  </r>
  <r>
    <n v="1018"/>
    <x v="2"/>
    <s v="PR"/>
    <x v="0"/>
    <x v="3"/>
    <n v="2"/>
    <n v="8300"/>
    <n v="15"/>
    <n v="16630"/>
  </r>
  <r>
    <n v="1019"/>
    <x v="2"/>
    <s v="PR"/>
    <x v="2"/>
    <x v="3"/>
    <n v="5"/>
    <n v="1790"/>
    <n v="15"/>
    <n v="9025"/>
  </r>
  <r>
    <n v="1020"/>
    <x v="2"/>
    <s v="PR"/>
    <x v="0"/>
    <x v="3"/>
    <n v="1"/>
    <n v="8300"/>
    <n v="15"/>
    <n v="8315"/>
  </r>
  <r>
    <n v="1021"/>
    <x v="1"/>
    <s v="SP"/>
    <x v="2"/>
    <x v="4"/>
    <n v="5"/>
    <n v="1790"/>
    <n v="10"/>
    <n v="9000"/>
  </r>
  <r>
    <n v="1022"/>
    <x v="1"/>
    <s v="SP"/>
    <x v="4"/>
    <x v="4"/>
    <n v="1"/>
    <n v="3200"/>
    <n v="10"/>
    <n v="3210"/>
  </r>
  <r>
    <n v="1023"/>
    <x v="2"/>
    <s v="RS"/>
    <x v="6"/>
    <x v="4"/>
    <n v="2"/>
    <n v="3470"/>
    <n v="15"/>
    <n v="6970"/>
  </r>
  <r>
    <n v="1024"/>
    <x v="1"/>
    <s v="SP"/>
    <x v="2"/>
    <x v="4"/>
    <n v="5"/>
    <n v="1790"/>
    <n v="10"/>
    <n v="9000"/>
  </r>
  <r>
    <n v="1025"/>
    <x v="1"/>
    <s v="RJ"/>
    <x v="2"/>
    <x v="4"/>
    <n v="5"/>
    <n v="1790"/>
    <n v="10"/>
    <n v="9000"/>
  </r>
  <r>
    <n v="1026"/>
    <x v="1"/>
    <s v="RJ"/>
    <x v="6"/>
    <x v="4"/>
    <n v="3"/>
    <n v="3470"/>
    <n v="10"/>
    <n v="10440"/>
  </r>
  <r>
    <n v="1027"/>
    <x v="1"/>
    <s v="MG"/>
    <x v="2"/>
    <x v="4"/>
    <n v="3"/>
    <n v="1790"/>
    <n v="10"/>
    <n v="5400"/>
  </r>
  <r>
    <n v="1028"/>
    <x v="1"/>
    <s v="MG"/>
    <x v="0"/>
    <x v="4"/>
    <n v="1"/>
    <n v="8300"/>
    <n v="10"/>
    <n v="8310"/>
  </r>
  <r>
    <n v="1029"/>
    <x v="3"/>
    <s v="BA"/>
    <x v="1"/>
    <x v="4"/>
    <n v="3"/>
    <n v="45"/>
    <n v="20"/>
    <n v="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45C52-5F4A-4B2F-9F68-480F42E83C02}" name="Tabela dinâ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W5:X11" firstHeaderRow="1" firstDataRow="1" firstDataCol="1"/>
  <pivotFields count="9">
    <pivotField showAll="0"/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showAll="0">
      <items count="8">
        <item x="2"/>
        <item x="1"/>
        <item x="4"/>
        <item x="0"/>
        <item x="3"/>
        <item x="5"/>
        <item x="6"/>
        <item t="default"/>
      </items>
    </pivotField>
    <pivotField numFmtId="14" showAll="0">
      <items count="6">
        <item x="0"/>
        <item x="1"/>
        <item x="2"/>
        <item x="3"/>
        <item x="4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" fld="8" baseField="0" baseItem="0" numFmtId="4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7E321-12A9-40EF-9B68-A41B932CD9BD}" name="Tabela dinâ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C5:AD11" firstHeaderRow="1" firstDataRow="1" firstDataCol="1"/>
  <pivotFields count="9"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>
      <items count="8">
        <item x="2"/>
        <item x="1"/>
        <item x="4"/>
        <item x="0"/>
        <item x="3"/>
        <item x="5"/>
        <item x="6"/>
        <item t="default"/>
      </items>
    </pivotField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" fld="8" baseField="0" baseItem="0" numFmtId="4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A23B1-1B29-4DC4-B43D-14CA667403A4}" name="Tabela dinâ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Z5:AA13" firstHeaderRow="1" firstDataRow="1" firstDataCol="1"/>
  <pivotFields count="9"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axis="axisRow" showAll="0">
      <items count="8">
        <item x="2"/>
        <item x="1"/>
        <item x="4"/>
        <item x="0"/>
        <item x="3"/>
        <item x="5"/>
        <item x="6"/>
        <item t="default"/>
      </items>
    </pivotField>
    <pivotField numFmtId="14" showAll="0">
      <items count="6">
        <item x="0"/>
        <item x="1"/>
        <item x="2"/>
        <item x="3"/>
        <item x="4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Total" fld="8" baseField="0" baseItem="0" numFmtId="44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C52F62E2-F064-45FD-AEA0-89CD7EA8494C}" sourceName="Região">
  <pivotTables>
    <pivotTable tabId="2" name="Tabela dinâmica4"/>
    <pivotTable tabId="2" name="Tabela dinâmica2"/>
    <pivotTable tabId="2" name="Tabela dinâmica3"/>
  </pivotTables>
  <data>
    <tabular pivotCacheId="1083285153">
      <items count="5">
        <i x="0" s="1"/>
        <i x="3" s="1"/>
        <i x="1" s="1"/>
        <i x="2" s="1"/>
        <i x="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32AB1062-E748-4AC6-98D0-D4CD95E84076}" sourceName="Produto">
  <pivotTables>
    <pivotTable tabId="2" name="Tabela dinâmica4"/>
    <pivotTable tabId="2" name="Tabela dinâmica2"/>
    <pivotTable tabId="2" name="Tabela dinâmica3"/>
  </pivotTables>
  <data>
    <tabular pivotCacheId="1083285153">
      <items count="7">
        <i x="2" s="1"/>
        <i x="1" s="1"/>
        <i x="4" s="1"/>
        <i x="0" s="1"/>
        <i x="3" s="1"/>
        <i x="5" s="1" nd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6F299589-2B1F-4B26-8569-0607957DF25A}" cache="SegmentaçãodeDados_Região" caption="Região" rowHeight="257175"/>
  <slicer name="Produto" xr10:uid="{7119A457-5FE2-429C-AAD7-43BA5749DE6E}" cache="SegmentaçãodeDados_Produto" caption="Produto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418205BD-A8C6-4CA9-BCE4-35D23E2B90E7}" sourceName="Data">
  <pivotTables>
    <pivotTable tabId="2" name="Tabela dinâmica4"/>
    <pivotTable tabId="2" name="Tabela dinâmica2"/>
    <pivotTable tabId="2" name="Tabela dinâmica3"/>
  </pivotTables>
  <state minimalRefreshVersion="6" lastRefreshVersion="6" pivotCacheId="1083285153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4D5A04D7-81D6-47CB-9CF9-3B93C6909C98}" cache="NativeTimeline_Data" caption="Data" level="3" selectionLevel="3" scrollPosition="2024-11-12T00:00:00"/>
</timeline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EA48-85E4-4790-8AE0-65D32EC9CC5D}">
  <sheetPr codeName="Planilha1"/>
  <dimension ref="A2:L32"/>
  <sheetViews>
    <sheetView tabSelected="1" workbookViewId="0">
      <selection activeCell="F14" sqref="F14"/>
    </sheetView>
  </sheetViews>
  <sheetFormatPr defaultRowHeight="14.5" x14ac:dyDescent="0.35"/>
  <cols>
    <col min="1" max="1" width="7.1796875" bestFit="1" customWidth="1"/>
    <col min="2" max="2" width="19.1796875" bestFit="1" customWidth="1"/>
    <col min="3" max="3" width="7" bestFit="1" customWidth="1"/>
    <col min="4" max="4" width="19.453125" bestFit="1" customWidth="1"/>
    <col min="5" max="5" width="10.453125" bestFit="1" customWidth="1"/>
    <col min="6" max="6" width="11.453125" bestFit="1" customWidth="1"/>
    <col min="7" max="7" width="13.26953125" style="1" bestFit="1" customWidth="1"/>
    <col min="8" max="8" width="13.7265625" style="1" customWidth="1"/>
    <col min="9" max="9" width="14.26953125" style="1" bestFit="1" customWidth="1"/>
    <col min="11" max="11" width="19.1796875" bestFit="1" customWidth="1"/>
    <col min="12" max="12" width="12.1796875" style="1" bestFit="1" customWidth="1"/>
  </cols>
  <sheetData>
    <row r="2" spans="1:12" x14ac:dyDescent="0.35">
      <c r="A2" s="4" t="s">
        <v>0</v>
      </c>
      <c r="B2" s="4" t="s">
        <v>1</v>
      </c>
      <c r="C2" s="4" t="s">
        <v>2</v>
      </c>
      <c r="D2" s="4" t="s">
        <v>35</v>
      </c>
      <c r="E2" s="4" t="s">
        <v>3</v>
      </c>
      <c r="F2" s="4" t="s">
        <v>4</v>
      </c>
      <c r="G2" s="5" t="s">
        <v>5</v>
      </c>
      <c r="H2" s="5" t="s">
        <v>6</v>
      </c>
      <c r="I2" s="5" t="s">
        <v>7</v>
      </c>
      <c r="K2" s="11" t="s">
        <v>8</v>
      </c>
      <c r="L2" s="11"/>
    </row>
    <row r="3" spans="1:12" x14ac:dyDescent="0.35">
      <c r="A3" s="2">
        <v>1001</v>
      </c>
      <c r="B3" s="2" t="s">
        <v>10</v>
      </c>
      <c r="C3" s="2" t="s">
        <v>22</v>
      </c>
      <c r="D3" s="2" t="s">
        <v>21</v>
      </c>
      <c r="E3" s="6">
        <v>45613</v>
      </c>
      <c r="F3" s="2">
        <v>4</v>
      </c>
      <c r="G3" s="3">
        <f>IFERROR(VLOOKUP(D3,$K$3:$L$9,2,FALSE),"")</f>
        <v>8300</v>
      </c>
      <c r="H3" s="3">
        <f>IFERROR(VLOOKUP(B3,$K$18:$L$22,2,FALSE),"")*F3</f>
        <v>60</v>
      </c>
      <c r="I3" s="3">
        <f>IFERROR((F3*G3)+(F3*H3),"")</f>
        <v>33440</v>
      </c>
      <c r="K3" s="2" t="s">
        <v>15</v>
      </c>
      <c r="L3" s="3">
        <v>45</v>
      </c>
    </row>
    <row r="4" spans="1:12" x14ac:dyDescent="0.35">
      <c r="A4" s="2">
        <v>1002</v>
      </c>
      <c r="B4" s="2" t="s">
        <v>14</v>
      </c>
      <c r="C4" s="2" t="s">
        <v>23</v>
      </c>
      <c r="D4" s="2" t="s">
        <v>15</v>
      </c>
      <c r="E4" s="6">
        <v>45613</v>
      </c>
      <c r="F4" s="2">
        <v>4</v>
      </c>
      <c r="G4" s="3">
        <f t="shared" ref="G4:G31" si="0">IFERROR(VLOOKUP(D4,$K$3:$L$9,2,FALSE),"")</f>
        <v>45</v>
      </c>
      <c r="H4" s="3">
        <f t="shared" ref="H4:H31" si="1">IFERROR(VLOOKUP(B4,$K$18:$L$22,2,FALSE),"")*F4</f>
        <v>40</v>
      </c>
      <c r="I4" s="3">
        <f t="shared" ref="I4:I31" si="2">IFERROR((F4*G4)+(F4*H4),"")</f>
        <v>340</v>
      </c>
      <c r="K4" s="2" t="s">
        <v>16</v>
      </c>
      <c r="L4" s="3">
        <v>1790</v>
      </c>
    </row>
    <row r="5" spans="1:12" x14ac:dyDescent="0.35">
      <c r="A5" s="2">
        <v>1003</v>
      </c>
      <c r="B5" s="2" t="s">
        <v>13</v>
      </c>
      <c r="C5" s="2" t="s">
        <v>24</v>
      </c>
      <c r="D5" s="2" t="s">
        <v>21</v>
      </c>
      <c r="E5" s="6">
        <v>45613</v>
      </c>
      <c r="F5" s="2">
        <v>2</v>
      </c>
      <c r="G5" s="3">
        <f t="shared" si="0"/>
        <v>8300</v>
      </c>
      <c r="H5" s="3">
        <f t="shared" si="1"/>
        <v>30</v>
      </c>
      <c r="I5" s="3">
        <f t="shared" si="2"/>
        <v>16660</v>
      </c>
      <c r="K5" s="2" t="s">
        <v>17</v>
      </c>
      <c r="L5" s="3">
        <v>3200</v>
      </c>
    </row>
    <row r="6" spans="1:12" x14ac:dyDescent="0.35">
      <c r="A6" s="2">
        <v>1004</v>
      </c>
      <c r="B6" s="2" t="s">
        <v>13</v>
      </c>
      <c r="C6" s="2" t="s">
        <v>24</v>
      </c>
      <c r="D6" s="2" t="s">
        <v>16</v>
      </c>
      <c r="E6" s="6">
        <v>45614</v>
      </c>
      <c r="F6" s="2">
        <v>1</v>
      </c>
      <c r="G6" s="3">
        <f t="shared" si="0"/>
        <v>1790</v>
      </c>
      <c r="H6" s="3">
        <f t="shared" si="1"/>
        <v>15</v>
      </c>
      <c r="I6" s="3">
        <f t="shared" si="2"/>
        <v>1805</v>
      </c>
      <c r="K6" s="2" t="s">
        <v>18</v>
      </c>
      <c r="L6" s="3">
        <v>2950</v>
      </c>
    </row>
    <row r="7" spans="1:12" x14ac:dyDescent="0.35">
      <c r="A7" s="2">
        <v>1005</v>
      </c>
      <c r="B7" s="2" t="s">
        <v>14</v>
      </c>
      <c r="C7" s="2" t="s">
        <v>23</v>
      </c>
      <c r="D7" s="2" t="s">
        <v>18</v>
      </c>
      <c r="E7" s="6">
        <v>45614</v>
      </c>
      <c r="F7" s="2">
        <v>1</v>
      </c>
      <c r="G7" s="3">
        <f t="shared" si="0"/>
        <v>2950</v>
      </c>
      <c r="H7" s="3">
        <f t="shared" si="1"/>
        <v>10</v>
      </c>
      <c r="I7" s="3">
        <f t="shared" si="2"/>
        <v>2960</v>
      </c>
      <c r="K7" s="2" t="s">
        <v>19</v>
      </c>
      <c r="L7" s="3">
        <v>2840</v>
      </c>
    </row>
    <row r="8" spans="1:12" x14ac:dyDescent="0.35">
      <c r="A8" s="2">
        <v>1006</v>
      </c>
      <c r="B8" s="2" t="s">
        <v>11</v>
      </c>
      <c r="C8" s="2" t="s">
        <v>25</v>
      </c>
      <c r="D8" s="2" t="s">
        <v>17</v>
      </c>
      <c r="E8" s="6">
        <v>45614</v>
      </c>
      <c r="F8" s="2">
        <v>4</v>
      </c>
      <c r="G8" s="3">
        <f t="shared" si="0"/>
        <v>3200</v>
      </c>
      <c r="H8" s="3">
        <f t="shared" si="1"/>
        <v>80</v>
      </c>
      <c r="I8" s="3">
        <f t="shared" si="2"/>
        <v>13120</v>
      </c>
      <c r="K8" s="2" t="s">
        <v>20</v>
      </c>
      <c r="L8" s="3">
        <v>3470</v>
      </c>
    </row>
    <row r="9" spans="1:12" x14ac:dyDescent="0.35">
      <c r="A9" s="2">
        <v>1007</v>
      </c>
      <c r="B9" s="2" t="s">
        <v>14</v>
      </c>
      <c r="C9" s="2" t="s">
        <v>23</v>
      </c>
      <c r="D9" s="2" t="s">
        <v>18</v>
      </c>
      <c r="E9" s="6">
        <v>45614</v>
      </c>
      <c r="F9" s="2">
        <v>2</v>
      </c>
      <c r="G9" s="3">
        <f t="shared" si="0"/>
        <v>2950</v>
      </c>
      <c r="H9" s="3">
        <f t="shared" si="1"/>
        <v>20</v>
      </c>
      <c r="I9" s="3">
        <f t="shared" si="2"/>
        <v>5940</v>
      </c>
      <c r="K9" s="2" t="s">
        <v>21</v>
      </c>
      <c r="L9" s="3">
        <v>8300</v>
      </c>
    </row>
    <row r="10" spans="1:12" x14ac:dyDescent="0.35">
      <c r="A10" s="2">
        <v>1008</v>
      </c>
      <c r="B10" s="2" t="s">
        <v>14</v>
      </c>
      <c r="C10" s="2" t="s">
        <v>26</v>
      </c>
      <c r="D10" s="2" t="s">
        <v>19</v>
      </c>
      <c r="E10" s="6">
        <v>45615</v>
      </c>
      <c r="F10" s="2">
        <v>4</v>
      </c>
      <c r="G10" s="3">
        <f t="shared" si="0"/>
        <v>2840</v>
      </c>
      <c r="H10" s="3">
        <f t="shared" si="1"/>
        <v>40</v>
      </c>
      <c r="I10" s="3">
        <f t="shared" si="2"/>
        <v>11520</v>
      </c>
    </row>
    <row r="11" spans="1:12" x14ac:dyDescent="0.35">
      <c r="A11" s="2">
        <v>1009</v>
      </c>
      <c r="B11" s="2" t="s">
        <v>11</v>
      </c>
      <c r="C11" s="2" t="s">
        <v>25</v>
      </c>
      <c r="D11" s="2" t="s">
        <v>18</v>
      </c>
      <c r="E11" s="6">
        <v>45615</v>
      </c>
      <c r="F11" s="2">
        <v>5</v>
      </c>
      <c r="G11" s="3">
        <f t="shared" si="0"/>
        <v>2950</v>
      </c>
      <c r="H11" s="3">
        <f t="shared" si="1"/>
        <v>100</v>
      </c>
      <c r="I11" s="3">
        <f t="shared" si="2"/>
        <v>15250</v>
      </c>
    </row>
    <row r="12" spans="1:12" x14ac:dyDescent="0.35">
      <c r="A12" s="2">
        <v>1010</v>
      </c>
      <c r="B12" s="2" t="s">
        <v>14</v>
      </c>
      <c r="C12" s="2" t="s">
        <v>26</v>
      </c>
      <c r="D12" s="2" t="s">
        <v>17</v>
      </c>
      <c r="E12" s="6">
        <v>45615</v>
      </c>
      <c r="F12" s="2">
        <v>1</v>
      </c>
      <c r="G12" s="3">
        <f t="shared" si="0"/>
        <v>3200</v>
      </c>
      <c r="H12" s="3">
        <f t="shared" si="1"/>
        <v>10</v>
      </c>
      <c r="I12" s="3">
        <f t="shared" si="2"/>
        <v>3210</v>
      </c>
    </row>
    <row r="13" spans="1:12" x14ac:dyDescent="0.35">
      <c r="A13" s="2">
        <v>1011</v>
      </c>
      <c r="B13" s="2" t="s">
        <v>14</v>
      </c>
      <c r="C13" s="2" t="s">
        <v>26</v>
      </c>
      <c r="D13" s="2" t="s">
        <v>20</v>
      </c>
      <c r="E13" s="6">
        <v>45615</v>
      </c>
      <c r="F13" s="2">
        <v>1</v>
      </c>
      <c r="G13" s="3">
        <f t="shared" si="0"/>
        <v>3470</v>
      </c>
      <c r="H13" s="3">
        <f t="shared" si="1"/>
        <v>10</v>
      </c>
      <c r="I13" s="3">
        <f t="shared" si="2"/>
        <v>3480</v>
      </c>
    </row>
    <row r="14" spans="1:12" x14ac:dyDescent="0.35">
      <c r="A14" s="2">
        <v>1012</v>
      </c>
      <c r="B14" s="2" t="s">
        <v>10</v>
      </c>
      <c r="C14" s="2" t="s">
        <v>22</v>
      </c>
      <c r="D14" s="2" t="s">
        <v>16</v>
      </c>
      <c r="E14" s="6">
        <v>45615</v>
      </c>
      <c r="F14" s="2">
        <v>3</v>
      </c>
      <c r="G14" s="3">
        <f t="shared" si="0"/>
        <v>1790</v>
      </c>
      <c r="H14" s="3">
        <f t="shared" si="1"/>
        <v>45</v>
      </c>
      <c r="I14" s="3">
        <f t="shared" si="2"/>
        <v>5505</v>
      </c>
    </row>
    <row r="15" spans="1:12" x14ac:dyDescent="0.35">
      <c r="A15" s="2">
        <v>1013</v>
      </c>
      <c r="B15" s="2" t="s">
        <v>14</v>
      </c>
      <c r="C15" s="2" t="s">
        <v>27</v>
      </c>
      <c r="D15" s="2" t="s">
        <v>20</v>
      </c>
      <c r="E15" s="6">
        <v>45616</v>
      </c>
      <c r="F15" s="2">
        <v>5</v>
      </c>
      <c r="G15" s="3">
        <f t="shared" si="0"/>
        <v>3470</v>
      </c>
      <c r="H15" s="3">
        <f t="shared" si="1"/>
        <v>50</v>
      </c>
      <c r="I15" s="3">
        <f t="shared" si="2"/>
        <v>17600</v>
      </c>
    </row>
    <row r="16" spans="1:12" x14ac:dyDescent="0.35">
      <c r="A16" s="2">
        <v>1014</v>
      </c>
      <c r="B16" s="2" t="s">
        <v>12</v>
      </c>
      <c r="C16" s="2" t="s">
        <v>28</v>
      </c>
      <c r="D16" s="2" t="s">
        <v>17</v>
      </c>
      <c r="E16" s="6">
        <v>45616</v>
      </c>
      <c r="F16" s="2">
        <v>4</v>
      </c>
      <c r="G16" s="3">
        <f t="shared" si="0"/>
        <v>3200</v>
      </c>
      <c r="H16" s="3">
        <f t="shared" si="1"/>
        <v>100</v>
      </c>
      <c r="I16" s="3">
        <f t="shared" si="2"/>
        <v>13200</v>
      </c>
    </row>
    <row r="17" spans="1:12" x14ac:dyDescent="0.35">
      <c r="A17" s="2">
        <v>1015</v>
      </c>
      <c r="B17" s="2" t="s">
        <v>14</v>
      </c>
      <c r="C17" s="2" t="s">
        <v>27</v>
      </c>
      <c r="D17" s="2" t="s">
        <v>15</v>
      </c>
      <c r="E17" s="6">
        <v>45616</v>
      </c>
      <c r="F17" s="2">
        <v>5</v>
      </c>
      <c r="G17" s="3">
        <f t="shared" si="0"/>
        <v>45</v>
      </c>
      <c r="H17" s="3">
        <f t="shared" si="1"/>
        <v>50</v>
      </c>
      <c r="I17" s="3">
        <f t="shared" si="2"/>
        <v>475</v>
      </c>
      <c r="K17" s="11" t="s">
        <v>9</v>
      </c>
      <c r="L17" s="11"/>
    </row>
    <row r="18" spans="1:12" x14ac:dyDescent="0.35">
      <c r="A18" s="2">
        <v>1016</v>
      </c>
      <c r="B18" s="2" t="s">
        <v>14</v>
      </c>
      <c r="C18" s="2" t="s">
        <v>29</v>
      </c>
      <c r="D18" s="2" t="s">
        <v>16</v>
      </c>
      <c r="E18" s="6">
        <v>45616</v>
      </c>
      <c r="F18" s="2">
        <v>4</v>
      </c>
      <c r="G18" s="3">
        <f t="shared" si="0"/>
        <v>1790</v>
      </c>
      <c r="H18" s="3">
        <f t="shared" si="1"/>
        <v>40</v>
      </c>
      <c r="I18" s="3">
        <f t="shared" si="2"/>
        <v>7320</v>
      </c>
      <c r="K18" s="2" t="s">
        <v>10</v>
      </c>
      <c r="L18" s="3">
        <v>15</v>
      </c>
    </row>
    <row r="19" spans="1:12" x14ac:dyDescent="0.35">
      <c r="A19" s="2">
        <v>1017</v>
      </c>
      <c r="B19" s="2" t="s">
        <v>14</v>
      </c>
      <c r="C19" s="2" t="s">
        <v>29</v>
      </c>
      <c r="D19" s="2" t="s">
        <v>15</v>
      </c>
      <c r="E19" s="6">
        <v>45616</v>
      </c>
      <c r="F19" s="2">
        <v>1</v>
      </c>
      <c r="G19" s="3">
        <f t="shared" si="0"/>
        <v>45</v>
      </c>
      <c r="H19" s="3">
        <f t="shared" si="1"/>
        <v>10</v>
      </c>
      <c r="I19" s="3">
        <f t="shared" si="2"/>
        <v>55</v>
      </c>
      <c r="K19" s="2" t="s">
        <v>11</v>
      </c>
      <c r="L19" s="3">
        <v>20</v>
      </c>
    </row>
    <row r="20" spans="1:12" x14ac:dyDescent="0.35">
      <c r="A20" s="2">
        <v>1018</v>
      </c>
      <c r="B20" s="2" t="s">
        <v>13</v>
      </c>
      <c r="C20" s="2" t="s">
        <v>30</v>
      </c>
      <c r="D20" s="2" t="s">
        <v>21</v>
      </c>
      <c r="E20" s="6">
        <v>45616</v>
      </c>
      <c r="F20" s="2">
        <v>2</v>
      </c>
      <c r="G20" s="3">
        <f t="shared" si="0"/>
        <v>8300</v>
      </c>
      <c r="H20" s="3">
        <f t="shared" si="1"/>
        <v>30</v>
      </c>
      <c r="I20" s="3">
        <f t="shared" si="2"/>
        <v>16660</v>
      </c>
      <c r="K20" s="2" t="s">
        <v>12</v>
      </c>
      <c r="L20" s="3">
        <v>25</v>
      </c>
    </row>
    <row r="21" spans="1:12" x14ac:dyDescent="0.35">
      <c r="A21" s="2">
        <v>1019</v>
      </c>
      <c r="B21" s="2" t="s">
        <v>13</v>
      </c>
      <c r="C21" s="2" t="s">
        <v>30</v>
      </c>
      <c r="D21" s="2" t="s">
        <v>16</v>
      </c>
      <c r="E21" s="6">
        <v>45616</v>
      </c>
      <c r="F21" s="2">
        <v>5</v>
      </c>
      <c r="G21" s="3">
        <f t="shared" si="0"/>
        <v>1790</v>
      </c>
      <c r="H21" s="3">
        <f t="shared" si="1"/>
        <v>75</v>
      </c>
      <c r="I21" s="3">
        <f t="shared" si="2"/>
        <v>9325</v>
      </c>
      <c r="K21" s="2" t="s">
        <v>13</v>
      </c>
      <c r="L21" s="3">
        <v>15</v>
      </c>
    </row>
    <row r="22" spans="1:12" x14ac:dyDescent="0.35">
      <c r="A22" s="2">
        <v>1020</v>
      </c>
      <c r="B22" s="2" t="s">
        <v>13</v>
      </c>
      <c r="C22" s="2" t="s">
        <v>30</v>
      </c>
      <c r="D22" s="2" t="s">
        <v>21</v>
      </c>
      <c r="E22" s="6">
        <v>45616</v>
      </c>
      <c r="F22" s="2">
        <v>1</v>
      </c>
      <c r="G22" s="3">
        <f t="shared" si="0"/>
        <v>8300</v>
      </c>
      <c r="H22" s="3">
        <f t="shared" si="1"/>
        <v>15</v>
      </c>
      <c r="I22" s="3">
        <f t="shared" si="2"/>
        <v>8315</v>
      </c>
      <c r="K22" s="2" t="s">
        <v>14</v>
      </c>
      <c r="L22" s="3">
        <v>10</v>
      </c>
    </row>
    <row r="23" spans="1:12" x14ac:dyDescent="0.35">
      <c r="A23" s="2">
        <v>1021</v>
      </c>
      <c r="B23" s="2" t="s">
        <v>14</v>
      </c>
      <c r="C23" s="2" t="s">
        <v>23</v>
      </c>
      <c r="D23" s="2" t="s">
        <v>16</v>
      </c>
      <c r="E23" s="6">
        <v>45617</v>
      </c>
      <c r="F23" s="2">
        <v>5</v>
      </c>
      <c r="G23" s="3">
        <f t="shared" si="0"/>
        <v>1790</v>
      </c>
      <c r="H23" s="3">
        <f t="shared" si="1"/>
        <v>50</v>
      </c>
      <c r="I23" s="3">
        <f t="shared" si="2"/>
        <v>9200</v>
      </c>
    </row>
    <row r="24" spans="1:12" x14ac:dyDescent="0.35">
      <c r="A24" s="2">
        <v>1022</v>
      </c>
      <c r="B24" s="2" t="s">
        <v>14</v>
      </c>
      <c r="C24" s="2" t="s">
        <v>23</v>
      </c>
      <c r="D24" s="2" t="s">
        <v>17</v>
      </c>
      <c r="E24" s="6">
        <v>45617</v>
      </c>
      <c r="F24" s="2">
        <v>1</v>
      </c>
      <c r="G24" s="3">
        <f t="shared" si="0"/>
        <v>3200</v>
      </c>
      <c r="H24" s="3">
        <f t="shared" si="1"/>
        <v>10</v>
      </c>
      <c r="I24" s="3">
        <f t="shared" si="2"/>
        <v>3210</v>
      </c>
    </row>
    <row r="25" spans="1:12" x14ac:dyDescent="0.35">
      <c r="A25" s="2">
        <v>1023</v>
      </c>
      <c r="B25" s="2" t="s">
        <v>13</v>
      </c>
      <c r="C25" s="2" t="s">
        <v>24</v>
      </c>
      <c r="D25" s="2" t="s">
        <v>20</v>
      </c>
      <c r="E25" s="6">
        <v>45617</v>
      </c>
      <c r="F25" s="2">
        <v>2</v>
      </c>
      <c r="G25" s="3">
        <f t="shared" si="0"/>
        <v>3470</v>
      </c>
      <c r="H25" s="3">
        <f t="shared" si="1"/>
        <v>30</v>
      </c>
      <c r="I25" s="3">
        <f t="shared" si="2"/>
        <v>7000</v>
      </c>
    </row>
    <row r="26" spans="1:12" x14ac:dyDescent="0.35">
      <c r="A26" s="2">
        <v>1024</v>
      </c>
      <c r="B26" s="2" t="s">
        <v>14</v>
      </c>
      <c r="C26" s="2" t="s">
        <v>23</v>
      </c>
      <c r="D26" s="2" t="s">
        <v>16</v>
      </c>
      <c r="E26" s="6">
        <v>45617</v>
      </c>
      <c r="F26" s="2">
        <v>5</v>
      </c>
      <c r="G26" s="3">
        <f t="shared" si="0"/>
        <v>1790</v>
      </c>
      <c r="H26" s="3">
        <f t="shared" si="1"/>
        <v>50</v>
      </c>
      <c r="I26" s="3">
        <f t="shared" si="2"/>
        <v>9200</v>
      </c>
    </row>
    <row r="27" spans="1:12" x14ac:dyDescent="0.35">
      <c r="A27" s="2">
        <v>1025</v>
      </c>
      <c r="B27" s="2" t="s">
        <v>14</v>
      </c>
      <c r="C27" s="2" t="s">
        <v>26</v>
      </c>
      <c r="D27" s="2" t="s">
        <v>16</v>
      </c>
      <c r="E27" s="6">
        <v>45617</v>
      </c>
      <c r="F27" s="2">
        <v>5</v>
      </c>
      <c r="G27" s="3">
        <f t="shared" si="0"/>
        <v>1790</v>
      </c>
      <c r="H27" s="3">
        <f t="shared" si="1"/>
        <v>50</v>
      </c>
      <c r="I27" s="3">
        <f t="shared" si="2"/>
        <v>9200</v>
      </c>
    </row>
    <row r="28" spans="1:12" x14ac:dyDescent="0.35">
      <c r="A28" s="2">
        <v>1026</v>
      </c>
      <c r="B28" s="2" t="s">
        <v>14</v>
      </c>
      <c r="C28" s="2" t="s">
        <v>26</v>
      </c>
      <c r="D28" s="2" t="s">
        <v>20</v>
      </c>
      <c r="E28" s="6">
        <v>45617</v>
      </c>
      <c r="F28" s="2">
        <v>3</v>
      </c>
      <c r="G28" s="3">
        <f t="shared" si="0"/>
        <v>3470</v>
      </c>
      <c r="H28" s="3">
        <f t="shared" si="1"/>
        <v>30</v>
      </c>
      <c r="I28" s="3">
        <f t="shared" si="2"/>
        <v>10500</v>
      </c>
    </row>
    <row r="29" spans="1:12" x14ac:dyDescent="0.35">
      <c r="A29" s="2">
        <v>1027</v>
      </c>
      <c r="B29" s="2" t="s">
        <v>14</v>
      </c>
      <c r="C29" s="2" t="s">
        <v>27</v>
      </c>
      <c r="D29" s="2" t="s">
        <v>16</v>
      </c>
      <c r="E29" s="6">
        <v>45617</v>
      </c>
      <c r="F29" s="2">
        <v>3</v>
      </c>
      <c r="G29" s="3">
        <f t="shared" si="0"/>
        <v>1790</v>
      </c>
      <c r="H29" s="3">
        <f t="shared" si="1"/>
        <v>30</v>
      </c>
      <c r="I29" s="3">
        <f t="shared" si="2"/>
        <v>5460</v>
      </c>
    </row>
    <row r="30" spans="1:12" x14ac:dyDescent="0.35">
      <c r="A30" s="2">
        <v>1028</v>
      </c>
      <c r="B30" s="2" t="s">
        <v>14</v>
      </c>
      <c r="C30" s="2" t="s">
        <v>27</v>
      </c>
      <c r="D30" s="2" t="s">
        <v>21</v>
      </c>
      <c r="E30" s="6">
        <v>45617</v>
      </c>
      <c r="F30" s="2">
        <v>1</v>
      </c>
      <c r="G30" s="3">
        <f t="shared" si="0"/>
        <v>8300</v>
      </c>
      <c r="H30" s="3">
        <f t="shared" si="1"/>
        <v>10</v>
      </c>
      <c r="I30" s="3">
        <f t="shared" si="2"/>
        <v>8310</v>
      </c>
    </row>
    <row r="31" spans="1:12" x14ac:dyDescent="0.35">
      <c r="A31" s="2">
        <v>1029</v>
      </c>
      <c r="B31" s="2" t="s">
        <v>11</v>
      </c>
      <c r="C31" s="2" t="s">
        <v>25</v>
      </c>
      <c r="D31" s="2" t="s">
        <v>15</v>
      </c>
      <c r="E31" s="6">
        <v>45617</v>
      </c>
      <c r="F31" s="2">
        <v>3</v>
      </c>
      <c r="G31" s="3">
        <f t="shared" si="0"/>
        <v>45</v>
      </c>
      <c r="H31" s="3">
        <f t="shared" si="1"/>
        <v>60</v>
      </c>
      <c r="I31" s="3">
        <f t="shared" si="2"/>
        <v>315</v>
      </c>
    </row>
    <row r="32" spans="1:12" x14ac:dyDescent="0.35">
      <c r="H32" s="3" t="s">
        <v>7</v>
      </c>
      <c r="I32" s="3">
        <f>SUM(I3:I31)</f>
        <v>248575</v>
      </c>
    </row>
  </sheetData>
  <mergeCells count="2">
    <mergeCell ref="K2:L2"/>
    <mergeCell ref="K17:L17"/>
  </mergeCells>
  <dataValidations count="1">
    <dataValidation type="list" allowBlank="1" showInputMessage="1" showErrorMessage="1" sqref="D3:D31" xr:uid="{F441C579-C758-403F-B5DC-5A024A5399BE}">
      <formula1>$K$3:$K$9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CF70-07FF-4336-8121-82F4B24FE83E}">
  <sheetPr codeName="Planilha2"/>
  <dimension ref="A1:AD59"/>
  <sheetViews>
    <sheetView workbookViewId="0">
      <selection activeCell="N29" sqref="N29"/>
    </sheetView>
  </sheetViews>
  <sheetFormatPr defaultRowHeight="14.5" x14ac:dyDescent="0.35"/>
  <cols>
    <col min="2" max="2" width="19.1796875" bestFit="1" customWidth="1"/>
    <col min="3" max="3" width="14.453125" bestFit="1" customWidth="1"/>
    <col min="9" max="9" width="19.453125" bestFit="1" customWidth="1"/>
    <col min="10" max="10" width="14.453125" bestFit="1" customWidth="1"/>
    <col min="20" max="20" width="19.1796875" bestFit="1" customWidth="1"/>
    <col min="21" max="21" width="14.453125" bestFit="1" customWidth="1"/>
    <col min="23" max="23" width="19.1796875" bestFit="1" customWidth="1"/>
    <col min="24" max="24" width="14.453125" bestFit="1" customWidth="1"/>
    <col min="26" max="26" width="19.453125" bestFit="1" customWidth="1"/>
    <col min="27" max="27" width="14.453125" bestFit="1" customWidth="1"/>
    <col min="29" max="29" width="18.453125" bestFit="1" customWidth="1"/>
    <col min="30" max="30" width="14.453125" bestFit="1" customWidth="1"/>
  </cols>
  <sheetData>
    <row r="1" spans="1:30" ht="28.5" x14ac:dyDescent="0.65">
      <c r="A1" s="12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7"/>
      <c r="U1" s="7"/>
      <c r="V1" s="7"/>
      <c r="W1" s="7"/>
      <c r="X1" s="7"/>
      <c r="Y1" s="7"/>
      <c r="Z1" s="7"/>
      <c r="AA1" s="7"/>
      <c r="AB1" s="7"/>
    </row>
    <row r="2" spans="1:30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30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30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30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 t="s">
        <v>32</v>
      </c>
      <c r="X5" s="7" t="s">
        <v>34</v>
      </c>
      <c r="Y5" s="7"/>
      <c r="Z5" s="7" t="s">
        <v>32</v>
      </c>
      <c r="AA5" s="7" t="s">
        <v>34</v>
      </c>
      <c r="AB5" s="7"/>
      <c r="AC5" s="7" t="s">
        <v>32</v>
      </c>
      <c r="AD5" s="7" t="s">
        <v>34</v>
      </c>
    </row>
    <row r="6" spans="1:30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10" t="s">
        <v>10</v>
      </c>
      <c r="X6" s="9">
        <v>38675</v>
      </c>
      <c r="Y6" s="7"/>
      <c r="Z6" s="10" t="s">
        <v>16</v>
      </c>
      <c r="AA6" s="9">
        <v>55845</v>
      </c>
      <c r="AB6" s="7"/>
      <c r="AC6" s="8">
        <v>45613</v>
      </c>
      <c r="AD6" s="9">
        <v>50110</v>
      </c>
    </row>
    <row r="7" spans="1:30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10" t="s">
        <v>11</v>
      </c>
      <c r="X7" s="9">
        <v>27925</v>
      </c>
      <c r="Y7" s="7"/>
      <c r="Z7" s="10" t="s">
        <v>15</v>
      </c>
      <c r="AA7" s="9">
        <v>745</v>
      </c>
      <c r="AB7" s="7"/>
      <c r="AC7" s="8">
        <v>45614</v>
      </c>
      <c r="AD7" s="9">
        <v>23565</v>
      </c>
    </row>
    <row r="8" spans="1:30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0" t="s">
        <v>12</v>
      </c>
      <c r="X8" s="9">
        <v>12900</v>
      </c>
      <c r="Y8" s="7"/>
      <c r="Z8" s="10" t="s">
        <v>17</v>
      </c>
      <c r="AA8" s="9">
        <v>32200</v>
      </c>
      <c r="AB8" s="7"/>
      <c r="AC8" s="8">
        <v>45615</v>
      </c>
      <c r="AD8" s="9">
        <v>38355</v>
      </c>
    </row>
    <row r="9" spans="1:30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10" t="s">
        <v>14</v>
      </c>
      <c r="X9" s="9">
        <v>106480</v>
      </c>
      <c r="Y9" s="7"/>
      <c r="Z9" s="10" t="s">
        <v>21</v>
      </c>
      <c r="AA9" s="9">
        <v>83145</v>
      </c>
      <c r="AB9" s="7"/>
      <c r="AC9" s="8">
        <v>45616</v>
      </c>
      <c r="AD9" s="9">
        <v>71800</v>
      </c>
    </row>
    <row r="10" spans="1:30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10" t="s">
        <v>13</v>
      </c>
      <c r="X10" s="9">
        <v>59375</v>
      </c>
      <c r="Y10" s="7"/>
      <c r="Z10" s="10" t="s">
        <v>18</v>
      </c>
      <c r="AA10" s="9">
        <v>23730</v>
      </c>
      <c r="AB10" s="7"/>
      <c r="AC10" s="8">
        <v>45617</v>
      </c>
      <c r="AD10" s="9">
        <v>61525</v>
      </c>
    </row>
    <row r="11" spans="1:30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10" t="s">
        <v>33</v>
      </c>
      <c r="X11" s="9">
        <v>245355</v>
      </c>
      <c r="Y11" s="7"/>
      <c r="Z11" s="10" t="s">
        <v>19</v>
      </c>
      <c r="AA11" s="9">
        <v>11400</v>
      </c>
      <c r="AB11" s="7"/>
      <c r="AC11" s="8" t="s">
        <v>33</v>
      </c>
      <c r="AD11" s="9">
        <v>245355</v>
      </c>
    </row>
    <row r="12" spans="1:30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10" t="s">
        <v>20</v>
      </c>
      <c r="AA12" s="9">
        <v>38290</v>
      </c>
      <c r="AB12" s="7"/>
      <c r="AC12" s="7"/>
      <c r="AD12" s="7"/>
    </row>
    <row r="13" spans="1:30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0" t="s">
        <v>33</v>
      </c>
      <c r="AA13" s="9">
        <v>245355</v>
      </c>
      <c r="AB13" s="7"/>
      <c r="AC13" s="7"/>
      <c r="AD13" s="7"/>
    </row>
    <row r="14" spans="1:30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30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30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</sheetData>
  <mergeCells count="1">
    <mergeCell ref="A1:S1"/>
  </mergeCells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771ab8-9434-468b-b9f9-670f3b6d25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2177CD81C1A4DBE21E983BA07A47C" ma:contentTypeVersion="5" ma:contentTypeDescription="Crie um novo documento." ma:contentTypeScope="" ma:versionID="ccd9fba292455b7ca710bfc1a35850ee">
  <xsd:schema xmlns:xsd="http://www.w3.org/2001/XMLSchema" xmlns:xs="http://www.w3.org/2001/XMLSchema" xmlns:p="http://schemas.microsoft.com/office/2006/metadata/properties" xmlns:ns3="9a771ab8-9434-468b-b9f9-670f3b6d25f4" targetNamespace="http://schemas.microsoft.com/office/2006/metadata/properties" ma:root="true" ma:fieldsID="e800c226bc9490fba76dac7ab93073ee" ns3:_="">
    <xsd:import namespace="9a771ab8-9434-468b-b9f9-670f3b6d25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71ab8-9434-468b-b9f9-670f3b6d25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DF7E0C-9FA5-45BA-9364-7B3F44FC1777}">
  <ds:schemaRefs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a771ab8-9434-468b-b9f9-670f3b6d25f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29F9EE6-ECFD-44BE-96A1-E7D770E1A8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8E182A-0041-4C02-B81D-230A272881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771ab8-9434-468b-b9f9-670f3b6d2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513 Escola SENAI - Jaguariuna</dc:creator>
  <cp:lastModifiedBy>Luis Fernando Spoljaric</cp:lastModifiedBy>
  <dcterms:created xsi:type="dcterms:W3CDTF">2025-07-07T20:20:07Z</dcterms:created>
  <dcterms:modified xsi:type="dcterms:W3CDTF">2026-05-20T17:54:37Z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0x0101009FB2177CD81C1A4DBE21E983BA07A47C</vt:lpwstr>
  </property>
</Properties>
</file>