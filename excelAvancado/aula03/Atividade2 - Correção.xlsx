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Prof. Luis\Downloads\"/>
    </mc:Choice>
  </mc:AlternateContent>
  <xr:revisionPtr revIDLastSave="0" documentId="13_ncr:1_{A48BDECE-701F-442E-BDBA-BF3425086147}" xr6:coauthVersionLast="47" xr6:coauthVersionMax="47" xr10:uidLastSave="{00000000-0000-0000-0000-000000000000}"/>
  <bookViews>
    <workbookView xWindow="-110" yWindow="-110" windowWidth="19420" windowHeight="10300" firstSheet="1" activeTab="3" xr2:uid="{02AB1B1B-2042-436D-A69F-2BCE76DF5C2F}"/>
  </bookViews>
  <sheets>
    <sheet name="Vendas" sheetId="1" r:id="rId1"/>
    <sheet name="Vendedores" sheetId="2" r:id="rId2"/>
    <sheet name="Metas" sheetId="3" r:id="rId3"/>
    <sheet name="Resoluções - PROCV" sheetId="5" r:id="rId4"/>
    <sheet name="Resoluções INDICE-CORRESP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5" l="1"/>
  <c r="B4" i="6"/>
  <c r="B3" i="6"/>
  <c r="B2" i="6"/>
  <c r="F2" i="1"/>
  <c r="F3" i="1"/>
  <c r="F4" i="1"/>
  <c r="F5" i="1"/>
  <c r="F6" i="1"/>
  <c r="F7" i="1"/>
  <c r="F8" i="1"/>
  <c r="F9" i="1"/>
  <c r="F10" i="1"/>
  <c r="F11" i="1"/>
  <c r="B4" i="5"/>
  <c r="B3" i="5"/>
  <c r="B7" i="5" s="1"/>
  <c r="B5" i="5" l="1"/>
  <c r="B11" i="5" s="1"/>
  <c r="B6" i="5"/>
  <c r="B10" i="5" l="1"/>
  <c r="B8" i="5"/>
  <c r="B9" i="5"/>
</calcChain>
</file>

<file path=xl/sharedStrings.xml><?xml version="1.0" encoding="utf-8"?>
<sst xmlns="http://schemas.openxmlformats.org/spreadsheetml/2006/main" count="49" uniqueCount="26">
  <si>
    <t>ID da Venda</t>
  </si>
  <si>
    <t>Matrícula do Vendedor</t>
  </si>
  <si>
    <t>Produto</t>
  </si>
  <si>
    <t>Quantidade</t>
  </si>
  <si>
    <t>Preço Unitário</t>
  </si>
  <si>
    <t>Produto X</t>
  </si>
  <si>
    <t>Produto Y</t>
  </si>
  <si>
    <t>Produto Z</t>
  </si>
  <si>
    <t>Matrícula</t>
  </si>
  <si>
    <t>Nome do Vendedor</t>
  </si>
  <si>
    <t>Setor</t>
  </si>
  <si>
    <t>Ana Silva</t>
  </si>
  <si>
    <t>Vendas A</t>
  </si>
  <si>
    <t>João Pereira</t>
  </si>
  <si>
    <t>Vendas B</t>
  </si>
  <si>
    <t>Maria Souza</t>
  </si>
  <si>
    <t>Pedro Almeida</t>
  </si>
  <si>
    <t>Vendas C</t>
  </si>
  <si>
    <t>Carla Rodrigues</t>
  </si>
  <si>
    <t>Meta</t>
  </si>
  <si>
    <t>Nome</t>
  </si>
  <si>
    <t>Total de Vendas</t>
  </si>
  <si>
    <t>Faturamento (SOMASE)</t>
  </si>
  <si>
    <t>Faturamento (SOMASES)</t>
  </si>
  <si>
    <t>Meta Atingida</t>
  </si>
  <si>
    <t>Meta Atingida (Aninhada)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</si>
</sst>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44" fontId="0" fillId="0" borderId="0" xfId="1" applyFont="1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44" fontId="0" fillId="0" borderId="0" xfId="0" applyNumberFormat="1"/>
    <xf numFmtId="44" fontId="0" fillId="0" borderId="0" xfId="1" applyFont="1" applyAlignment="1">
      <alignment horizontal="center"/>
    </xf>
  </cellXfs>
  <cellStyles count="2">
    <cellStyle name="Moeda" xfId="1" builtinId="4"/>
    <cellStyle name="Normal" xfId="0" builtinId="0"/>
  </cellStyles>
  <dxfs count="3"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06F351-36F6-4717-A50E-8105B1977398}" name="Vendas" displayName="Vendas" ref="A1:F11" totalsRowShown="0">
  <autoFilter ref="A1:F11" xr:uid="{3106F351-36F6-4717-A50E-8105B1977398}"/>
  <tableColumns count="6">
    <tableColumn id="1" xr3:uid="{8CB57C54-16CA-4B82-8913-C4DE9CA2F832}" name="ID da Venda"/>
    <tableColumn id="2" xr3:uid="{92C39666-3AA7-49FC-B5C8-AB876B2F7425}" name="Matrícula do Vendedor"/>
    <tableColumn id="3" xr3:uid="{55F4E617-84E4-4A38-AAA4-D0B23511569A}" name="Produto"/>
    <tableColumn id="4" xr3:uid="{3383CD66-5E67-4303-AF0B-61B545F89D7A}" name="Quantidade"/>
    <tableColumn id="5" xr3:uid="{25C38672-6CB0-4608-A7EC-A76DB0A5EE6A}" name="Preço Unitário" dataCellStyle="Moeda"/>
    <tableColumn id="6" xr3:uid="{AA646F31-82BF-4767-A26B-8249621B5440}" name="Total de Vendas" dataDxfId="0">
      <calculatedColumnFormula>Vendas[[#This Row],[Quantidade]]*Vendas[[#This Row],[Preço Unitário]]</calculatedColumnFormula>
    </tableColumn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8C618A1-1D8B-4A24-A2D4-D6C141933773}" name="Vendedores" displayName="Vendedores" ref="A1:C6" totalsRowShown="0">
  <autoFilter ref="A1:C6" xr:uid="{D8C618A1-1D8B-4A24-A2D4-D6C141933773}"/>
  <tableColumns count="3">
    <tableColumn id="1" xr3:uid="{E6EEF4F3-3B63-481B-991D-3B6B7F6C930C}" name="Matrícula"/>
    <tableColumn id="2" xr3:uid="{84F2ABAF-933E-4C90-BDCA-9134BC0B0FE1}" name="Nome do Vendedor"/>
    <tableColumn id="3" xr3:uid="{2FC9D29F-367C-43F1-9157-055112DE7B59}" name="Setor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142D2C3-40A7-4E57-8BA2-645360D4FDAF}" name="Metas" displayName="Metas" ref="A1:B4" totalsRowShown="0">
  <autoFilter ref="A1:B4" xr:uid="{E142D2C3-40A7-4E57-8BA2-645360D4FDAF}"/>
  <tableColumns count="2">
    <tableColumn id="1" xr3:uid="{714B557F-CEF1-4D88-980F-2BE953F3870D}" name="Setor"/>
    <tableColumn id="2" xr3:uid="{A92A57F5-E350-4DBD-ACB5-4B1E2AD99D5B}" name="Meta" dataCellStyle="Moeda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21C4E-9FD5-4069-8903-A5DBBFA965AF}">
  <sheetPr codeName="Planilha1"/>
  <dimension ref="A1:F11"/>
  <sheetViews>
    <sheetView zoomScale="130" zoomScaleNormal="130" workbookViewId="0">
      <selection activeCell="A12" sqref="A12"/>
    </sheetView>
  </sheetViews>
  <sheetFormatPr defaultRowHeight="14.5" x14ac:dyDescent="0.35"/>
  <cols>
    <col min="1" max="1" width="12.7265625" customWidth="1"/>
    <col min="2" max="2" width="21.81640625" customWidth="1"/>
    <col min="3" max="3" width="9.7265625" bestFit="1" customWidth="1"/>
    <col min="4" max="4" width="14" customWidth="1"/>
    <col min="5" max="5" width="16.26953125" customWidth="1"/>
    <col min="6" max="6" width="17.5429687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21</v>
      </c>
    </row>
    <row r="2" spans="1:6" x14ac:dyDescent="0.35">
      <c r="A2">
        <v>1</v>
      </c>
      <c r="B2">
        <v>101</v>
      </c>
      <c r="C2" t="s">
        <v>5</v>
      </c>
      <c r="D2">
        <v>2</v>
      </c>
      <c r="E2" s="1">
        <v>50</v>
      </c>
      <c r="F2" s="5">
        <f>Vendas[[#This Row],[Quantidade]]*Vendas[[#This Row],[Preço Unitário]]</f>
        <v>100</v>
      </c>
    </row>
    <row r="3" spans="1:6" x14ac:dyDescent="0.35">
      <c r="A3">
        <v>2</v>
      </c>
      <c r="B3">
        <v>102</v>
      </c>
      <c r="C3" t="s">
        <v>6</v>
      </c>
      <c r="D3">
        <v>1</v>
      </c>
      <c r="E3" s="1">
        <v>100</v>
      </c>
      <c r="F3" s="5">
        <f>Vendas[[#This Row],[Quantidade]]*Vendas[[#This Row],[Preço Unitário]]</f>
        <v>100</v>
      </c>
    </row>
    <row r="4" spans="1:6" x14ac:dyDescent="0.35">
      <c r="A4">
        <v>3</v>
      </c>
      <c r="B4">
        <v>101</v>
      </c>
      <c r="C4" t="s">
        <v>7</v>
      </c>
      <c r="D4">
        <v>1</v>
      </c>
      <c r="E4" s="1">
        <v>80</v>
      </c>
      <c r="F4" s="5">
        <f>Vendas[[#This Row],[Quantidade]]*Vendas[[#This Row],[Preço Unitário]]</f>
        <v>80</v>
      </c>
    </row>
    <row r="5" spans="1:6" x14ac:dyDescent="0.35">
      <c r="A5">
        <v>4</v>
      </c>
      <c r="B5">
        <v>103</v>
      </c>
      <c r="C5" t="s">
        <v>5</v>
      </c>
      <c r="D5">
        <v>3</v>
      </c>
      <c r="E5" s="1">
        <v>50</v>
      </c>
      <c r="F5" s="5">
        <f>Vendas[[#This Row],[Quantidade]]*Vendas[[#This Row],[Preço Unitário]]</f>
        <v>150</v>
      </c>
    </row>
    <row r="6" spans="1:6" x14ac:dyDescent="0.35">
      <c r="A6">
        <v>5</v>
      </c>
      <c r="B6">
        <v>102</v>
      </c>
      <c r="C6" t="s">
        <v>7</v>
      </c>
      <c r="D6">
        <v>2</v>
      </c>
      <c r="E6" s="1">
        <v>80</v>
      </c>
      <c r="F6" s="5">
        <f>Vendas[[#This Row],[Quantidade]]*Vendas[[#This Row],[Preço Unitário]]</f>
        <v>160</v>
      </c>
    </row>
    <row r="7" spans="1:6" x14ac:dyDescent="0.35">
      <c r="A7">
        <v>6</v>
      </c>
      <c r="B7">
        <v>104</v>
      </c>
      <c r="C7" t="s">
        <v>6</v>
      </c>
      <c r="D7">
        <v>1</v>
      </c>
      <c r="E7" s="1">
        <v>100</v>
      </c>
      <c r="F7" s="5">
        <f>Vendas[[#This Row],[Quantidade]]*Vendas[[#This Row],[Preço Unitário]]</f>
        <v>100</v>
      </c>
    </row>
    <row r="8" spans="1:6" x14ac:dyDescent="0.35">
      <c r="A8">
        <v>7</v>
      </c>
      <c r="B8">
        <v>105</v>
      </c>
      <c r="C8" t="s">
        <v>5</v>
      </c>
      <c r="D8">
        <v>2</v>
      </c>
      <c r="E8" s="1">
        <v>50</v>
      </c>
      <c r="F8" s="5">
        <f>Vendas[[#This Row],[Quantidade]]*Vendas[[#This Row],[Preço Unitário]]</f>
        <v>100</v>
      </c>
    </row>
    <row r="9" spans="1:6" x14ac:dyDescent="0.35">
      <c r="A9">
        <v>8</v>
      </c>
      <c r="B9">
        <v>103</v>
      </c>
      <c r="C9" t="s">
        <v>6</v>
      </c>
      <c r="D9">
        <v>1</v>
      </c>
      <c r="E9" s="1">
        <v>100</v>
      </c>
      <c r="F9" s="5">
        <f>Vendas[[#This Row],[Quantidade]]*Vendas[[#This Row],[Preço Unitário]]</f>
        <v>100</v>
      </c>
    </row>
    <row r="10" spans="1:6" x14ac:dyDescent="0.35">
      <c r="A10">
        <v>9</v>
      </c>
      <c r="B10">
        <v>101</v>
      </c>
      <c r="C10" t="s">
        <v>6</v>
      </c>
      <c r="D10">
        <v>2</v>
      </c>
      <c r="E10" s="1">
        <v>100</v>
      </c>
      <c r="F10" s="5">
        <f>Vendas[[#This Row],[Quantidade]]*Vendas[[#This Row],[Preço Unitário]]</f>
        <v>200</v>
      </c>
    </row>
    <row r="11" spans="1:6" x14ac:dyDescent="0.35">
      <c r="A11">
        <v>10</v>
      </c>
      <c r="B11">
        <v>104</v>
      </c>
      <c r="C11" t="s">
        <v>7</v>
      </c>
      <c r="D11">
        <v>1</v>
      </c>
      <c r="E11" s="1">
        <v>80</v>
      </c>
      <c r="F11" s="5">
        <f>Vendas[[#This Row],[Quantidade]]*Vendas[[#This Row],[Preço Unitário]]</f>
        <v>80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A4113-ADB3-48DB-A632-476D2B8E8FA4}">
  <sheetPr codeName="Planilha2"/>
  <dimension ref="A1:C6"/>
  <sheetViews>
    <sheetView workbookViewId="0">
      <selection activeCell="C6" sqref="C6"/>
    </sheetView>
  </sheetViews>
  <sheetFormatPr defaultRowHeight="14.5" x14ac:dyDescent="0.35"/>
  <cols>
    <col min="1" max="1" width="11.26953125" customWidth="1"/>
    <col min="2" max="2" width="20.54296875" customWidth="1"/>
    <col min="3" max="3" width="9.26953125" bestFit="1" customWidth="1"/>
  </cols>
  <sheetData>
    <row r="1" spans="1:3" x14ac:dyDescent="0.35">
      <c r="A1" t="s">
        <v>8</v>
      </c>
      <c r="B1" t="s">
        <v>9</v>
      </c>
      <c r="C1" t="s">
        <v>10</v>
      </c>
    </row>
    <row r="2" spans="1:3" x14ac:dyDescent="0.35">
      <c r="A2">
        <v>101</v>
      </c>
      <c r="B2" t="s">
        <v>11</v>
      </c>
      <c r="C2" t="s">
        <v>12</v>
      </c>
    </row>
    <row r="3" spans="1:3" x14ac:dyDescent="0.35">
      <c r="A3">
        <v>102</v>
      </c>
      <c r="B3" t="s">
        <v>13</v>
      </c>
      <c r="C3" t="s">
        <v>14</v>
      </c>
    </row>
    <row r="4" spans="1:3" x14ac:dyDescent="0.35">
      <c r="A4">
        <v>103</v>
      </c>
      <c r="B4" t="s">
        <v>15</v>
      </c>
      <c r="C4" t="s">
        <v>12</v>
      </c>
    </row>
    <row r="5" spans="1:3" x14ac:dyDescent="0.35">
      <c r="A5">
        <v>104</v>
      </c>
      <c r="B5" t="s">
        <v>16</v>
      </c>
      <c r="C5" t="s">
        <v>17</v>
      </c>
    </row>
    <row r="6" spans="1:3" x14ac:dyDescent="0.35">
      <c r="A6">
        <v>105</v>
      </c>
      <c r="B6" t="s">
        <v>18</v>
      </c>
      <c r="C6" t="s">
        <v>14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680E8-0E20-4C7F-8087-D0DC23E2AA52}">
  <sheetPr codeName="Planilha3"/>
  <dimension ref="A1:B4"/>
  <sheetViews>
    <sheetView workbookViewId="0">
      <selection activeCell="D12" sqref="D12"/>
    </sheetView>
  </sheetViews>
  <sheetFormatPr defaultRowHeight="14.5" x14ac:dyDescent="0.35"/>
  <cols>
    <col min="2" max="2" width="10.54296875" bestFit="1" customWidth="1"/>
  </cols>
  <sheetData>
    <row r="1" spans="1:2" x14ac:dyDescent="0.35">
      <c r="A1" t="s">
        <v>10</v>
      </c>
      <c r="B1" t="s">
        <v>19</v>
      </c>
    </row>
    <row r="2" spans="1:2" x14ac:dyDescent="0.35">
      <c r="A2" t="s">
        <v>12</v>
      </c>
      <c r="B2" s="1">
        <v>100</v>
      </c>
    </row>
    <row r="3" spans="1:2" x14ac:dyDescent="0.35">
      <c r="A3" t="s">
        <v>14</v>
      </c>
      <c r="B3" s="1">
        <v>125</v>
      </c>
    </row>
    <row r="4" spans="1:2" x14ac:dyDescent="0.35">
      <c r="A4" t="s">
        <v>17</v>
      </c>
      <c r="B4" s="1">
        <v>150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1B168-CC28-4DFA-9E6A-F3D146FCA736}">
  <sheetPr codeName="Planilha4"/>
  <dimension ref="A1:B15"/>
  <sheetViews>
    <sheetView tabSelected="1" workbookViewId="0">
      <selection activeCell="B2" sqref="B2"/>
    </sheetView>
  </sheetViews>
  <sheetFormatPr defaultRowHeight="14.5" x14ac:dyDescent="0.35"/>
  <cols>
    <col min="1" max="1" width="24.26953125" bestFit="1" customWidth="1"/>
    <col min="2" max="2" width="19.1796875" bestFit="1" customWidth="1"/>
  </cols>
  <sheetData>
    <row r="1" spans="1:2" x14ac:dyDescent="0.35">
      <c r="A1" s="2" t="s">
        <v>8</v>
      </c>
      <c r="B1" s="4">
        <v>107</v>
      </c>
    </row>
    <row r="2" spans="1:2" x14ac:dyDescent="0.35">
      <c r="A2" s="2" t="s">
        <v>20</v>
      </c>
      <c r="B2" s="4" t="str">
        <f>VLOOKUP(B1,Vendedores[],2)</f>
        <v>Carla Rodrigues</v>
      </c>
    </row>
    <row r="3" spans="1:2" x14ac:dyDescent="0.35">
      <c r="A3" s="2" t="s">
        <v>10</v>
      </c>
      <c r="B3" s="3" t="str">
        <f>VLOOKUP(B1,Vendedores[],3)</f>
        <v>Vendas B</v>
      </c>
    </row>
    <row r="4" spans="1:2" x14ac:dyDescent="0.35">
      <c r="A4" s="2" t="s">
        <v>21</v>
      </c>
      <c r="B4" s="3">
        <f>COUNTIFS(Vendas[Matrícula do Vendedor],B1)</f>
        <v>0</v>
      </c>
    </row>
    <row r="5" spans="1:2" x14ac:dyDescent="0.35">
      <c r="A5" s="2" t="s">
        <v>23</v>
      </c>
      <c r="B5" s="6">
        <f>SUMIFS(Vendas[Total de Vendas],Vendas[Matrícula do Vendedor],B1)</f>
        <v>0</v>
      </c>
    </row>
    <row r="6" spans="1:2" x14ac:dyDescent="0.35">
      <c r="A6" s="2" t="s">
        <v>22</v>
      </c>
      <c r="B6" s="1">
        <f>SUMIF(Vendas[Matrícula do Vendedor],B1,Vendas[Total de Vendas])</f>
        <v>0</v>
      </c>
    </row>
    <row r="7" spans="1:2" x14ac:dyDescent="0.35">
      <c r="A7" s="2" t="s">
        <v>19</v>
      </c>
      <c r="B7" s="1">
        <f>VLOOKUP(B3,Metas[],2)</f>
        <v>125</v>
      </c>
    </row>
    <row r="8" spans="1:2" x14ac:dyDescent="0.35">
      <c r="A8" s="2" t="s">
        <v>24</v>
      </c>
      <c r="B8" s="6">
        <f>IF(B6&gt;=B7,"Meta Batida",B5-B7)</f>
        <v>-125</v>
      </c>
    </row>
    <row r="9" spans="1:2" x14ac:dyDescent="0.35">
      <c r="A9" s="2" t="s">
        <v>24</v>
      </c>
      <c r="B9" s="6" t="str">
        <f>IF(B6&gt;=B7,"Meta Batida","Não Batida ")</f>
        <v xml:space="preserve">Não Batida </v>
      </c>
    </row>
    <row r="10" spans="1:2" x14ac:dyDescent="0.35">
      <c r="A10" s="2" t="s">
        <v>24</v>
      </c>
      <c r="B10" s="6" t="str">
        <f>IF(B6&gt;=B7,"Meta Batida",_xlfn.CONCAT("Não Batida   R$ ",B5-B7))</f>
        <v>Não Batida   R$ -125</v>
      </c>
    </row>
    <row r="11" spans="1:2" x14ac:dyDescent="0.35">
      <c r="A11" s="2" t="s">
        <v>25</v>
      </c>
      <c r="B11" s="6">
        <f>IF(B5&gt;=VLOOKUP(B3,Metas[],2),"Meta Batida",B5-VLOOKUP(B3,Metas[],2))</f>
        <v>-125</v>
      </c>
    </row>
    <row r="13" spans="1:2" x14ac:dyDescent="0.35">
      <c r="A13" s="2"/>
    </row>
    <row r="14" spans="1:2" x14ac:dyDescent="0.35">
      <c r="A14" s="2"/>
    </row>
    <row r="15" spans="1:2" x14ac:dyDescent="0.35">
      <c r="A15" s="2"/>
    </row>
  </sheetData>
  <conditionalFormatting sqref="B8:B10">
    <cfRule type="containsText" dxfId="2" priority="1" operator="containsText" text="Não">
      <formula>NOT(ISERROR(SEARCH("Não",B8)))</formula>
    </cfRule>
    <cfRule type="cellIs" dxfId="1" priority="2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BB20B-225F-4BF2-9665-9961F9DA0B69}">
  <sheetPr codeName="Planilha5"/>
  <dimension ref="A1:B4"/>
  <sheetViews>
    <sheetView workbookViewId="0">
      <selection activeCell="B4" sqref="B4"/>
    </sheetView>
  </sheetViews>
  <sheetFormatPr defaultRowHeight="14.5" x14ac:dyDescent="0.35"/>
  <cols>
    <col min="1" max="1" width="11.26953125" customWidth="1"/>
    <col min="2" max="2" width="16.7265625" customWidth="1"/>
  </cols>
  <sheetData>
    <row r="1" spans="1:2" x14ac:dyDescent="0.35">
      <c r="A1" s="2" t="s">
        <v>8</v>
      </c>
      <c r="B1" s="3">
        <v>105</v>
      </c>
    </row>
    <row r="2" spans="1:2" x14ac:dyDescent="0.35">
      <c r="A2" s="2" t="s">
        <v>20</v>
      </c>
      <c r="B2" s="3" t="str">
        <f>INDEX(Vendedores[],MATCH(B1,Vendedores[Matrícula],0),2)</f>
        <v>Carla Rodrigues</v>
      </c>
    </row>
    <row r="3" spans="1:2" x14ac:dyDescent="0.35">
      <c r="A3" s="2" t="s">
        <v>10</v>
      </c>
      <c r="B3" s="3" t="str">
        <f>INDEX(Vendedores[],MATCH(B1,Vendedores[Matrícula],0),3)</f>
        <v>Vendas B</v>
      </c>
    </row>
    <row r="4" spans="1:2" x14ac:dyDescent="0.35">
      <c r="A4" s="2" t="s">
        <v>19</v>
      </c>
      <c r="B4" s="6">
        <f>INDEX(Metas[],MATCH(B3,Metas[Setor],0),2)</f>
        <v>125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Vendas</vt:lpstr>
      <vt:lpstr>Vendedores</vt:lpstr>
      <vt:lpstr>Metas</vt:lpstr>
      <vt:lpstr>Resoluções - PROCV</vt:lpstr>
      <vt:lpstr>Resoluções INDICE-CORRESP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Reenye Lima</dc:creator>
  <cp:lastModifiedBy>Luis Fernando Spoljaric</cp:lastModifiedBy>
  <dcterms:created xsi:type="dcterms:W3CDTF">2025-02-19T01:15:28Z</dcterms:created>
  <dcterms:modified xsi:type="dcterms:W3CDTF">2026-05-20T17:55:19Z</dcterms:modified>
</cp:coreProperties>
</file>