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of. Luis\Desktop\ExcelAvancado\Aula4\"/>
    </mc:Choice>
  </mc:AlternateContent>
  <xr:revisionPtr revIDLastSave="0" documentId="13_ncr:20001_{A2CD3C76-CC81-4DE9-9769-6A3EBECBE45C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rojetos" sheetId="1" r:id="rId1"/>
    <sheet name="Feriados" sheetId="2" r:id="rId2"/>
    <sheet name="Exercicios" sheetId="3" r:id="rId3"/>
    <sheet name="Gabarito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2" i="1"/>
  <c r="O3" i="1"/>
  <c r="O4" i="1"/>
  <c r="O5" i="1"/>
  <c r="O6" i="1"/>
  <c r="O7" i="1"/>
  <c r="O8" i="1"/>
  <c r="O9" i="1"/>
  <c r="O2" i="1"/>
  <c r="N3" i="1"/>
  <c r="N4" i="1"/>
  <c r="N5" i="1"/>
  <c r="N6" i="1"/>
  <c r="N7" i="1"/>
  <c r="N8" i="1"/>
  <c r="N9" i="1"/>
  <c r="N2" i="1"/>
  <c r="M3" i="1"/>
  <c r="M4" i="1"/>
  <c r="M5" i="1"/>
  <c r="M6" i="1"/>
  <c r="M7" i="1"/>
  <c r="M8" i="1"/>
  <c r="M9" i="1"/>
  <c r="M2" i="1"/>
  <c r="L3" i="1"/>
  <c r="L4" i="1"/>
  <c r="L5" i="1"/>
  <c r="L6" i="1"/>
  <c r="L7" i="1"/>
  <c r="L8" i="1"/>
  <c r="L9" i="1"/>
  <c r="L2" i="1"/>
  <c r="K3" i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<sst xmlns="http://schemas.openxmlformats.org/spreadsheetml/2006/main" count="85" uniqueCount="84">
  <si>
    <t>ID</t>
  </si>
  <si>
    <t>Projeto</t>
  </si>
  <si>
    <t>Data_Inicio</t>
  </si>
  <si>
    <t>Prazo_Dias_Uteis</t>
  </si>
  <si>
    <t>Data_Final</t>
  </si>
  <si>
    <t>Data_Entrega</t>
  </si>
  <si>
    <t>Nascimento_Responsavel</t>
  </si>
  <si>
    <t>Sistema ERP</t>
  </si>
  <si>
    <t>21/05/2026</t>
  </si>
  <si>
    <t>18/06/2026</t>
  </si>
  <si>
    <t>15/08/1998</t>
  </si>
  <si>
    <t>Website Loja</t>
  </si>
  <si>
    <t>25/05/2026</t>
  </si>
  <si>
    <t>20/06/2026</t>
  </si>
  <si>
    <t>22/03/1995</t>
  </si>
  <si>
    <t>Aplicativo Mobile</t>
  </si>
  <si>
    <t>01/06/2026</t>
  </si>
  <si>
    <t>05/07/2026</t>
  </si>
  <si>
    <t>10/01/2000</t>
  </si>
  <si>
    <t>Dashboard BI</t>
  </si>
  <si>
    <t>03/06/2026</t>
  </si>
  <si>
    <t>25/06/2026</t>
  </si>
  <si>
    <t>05/11/1992</t>
  </si>
  <si>
    <t>Sistema RH</t>
  </si>
  <si>
    <t>08/06/2026</t>
  </si>
  <si>
    <t>10/07/2026</t>
  </si>
  <si>
    <t>30/07/1997</t>
  </si>
  <si>
    <t>E-commerce</t>
  </si>
  <si>
    <t>15/06/2026</t>
  </si>
  <si>
    <t>28/07/2026</t>
  </si>
  <si>
    <t>14/02/1994</t>
  </si>
  <si>
    <t>Portal Cliente</t>
  </si>
  <si>
    <t>02/07/2026</t>
  </si>
  <si>
    <t>19/09/1999</t>
  </si>
  <si>
    <t>Controle Estoque</t>
  </si>
  <si>
    <t>22/06/2026</t>
  </si>
  <si>
    <t>05/08/2026</t>
  </si>
  <si>
    <t>08/12/1991</t>
  </si>
  <si>
    <t>Feriados</t>
  </si>
  <si>
    <t>04/06/2026</t>
  </si>
  <si>
    <t>09/07/2026</t>
  </si>
  <si>
    <t>07/09/2026</t>
  </si>
  <si>
    <t>12/10/2026</t>
  </si>
  <si>
    <t>ATIVIDADE - FUNÇÕES DE DATA NO EXCEL</t>
  </si>
  <si>
    <t>Utilize as funções abaixo para resolver os exercícios.</t>
  </si>
  <si>
    <t>1) Use DIA.DA.SEMANA para descobrir o dia da semana da Data_Inicio.</t>
  </si>
  <si>
    <t>2) Use DIA.TRABALHO para calcular a Data_Final considerando o Prazo_Dias_Uteis.</t>
  </si>
  <si>
    <t>3) Use DIA.TRABALHO.INTL considerando sexta e sábado como final de semana.</t>
  </si>
  <si>
    <t>4) Use DIA.TRABALHOTOTAL para calcular quantos dias úteis existem entre Data_Inicio e Data_Entrega.</t>
  </si>
  <si>
    <t>5) Use DIA.TRABALHOTOTAL.INTL considerando sexta e sábado como final de semana.</t>
  </si>
  <si>
    <t>6) Use DIAS360 para calcular os dias comerciais entre Data_Inicio e Data_Entrega.</t>
  </si>
  <si>
    <t>7) Use DATADIF para calcular a idade do responsável em anos.</t>
  </si>
  <si>
    <t>8) Use DATADIF para calcular quantos meses completos o responsável possui.</t>
  </si>
  <si>
    <t>9) Use DATADIF para calcular quantos dias totais o responsável possui desde o nascimento até hoje.</t>
  </si>
  <si>
    <t>OBS: Utilize a aba 'Feriados' nas funções que permitirem uso de feriados.</t>
  </si>
  <si>
    <t>Função</t>
  </si>
  <si>
    <t>Exemplo de Fórmula</t>
  </si>
  <si>
    <t>DIA.DA.SEMANA</t>
  </si>
  <si>
    <t>DIA.TRABALHO</t>
  </si>
  <si>
    <t>DIA.TRABALHO.INTL</t>
  </si>
  <si>
    <t>DIA.TRABALHOTOTAL</t>
  </si>
  <si>
    <t>DIA.TRABALHOTOTAL.INTL</t>
  </si>
  <si>
    <t>DIAS360</t>
  </si>
  <si>
    <t>DATADIF Anos</t>
  </si>
  <si>
    <t>DATADIF Meses</t>
  </si>
  <si>
    <t>DATADIF Dias</t>
  </si>
  <si>
    <t>`=DATADIF(G2;HOJE();"M")</t>
  </si>
  <si>
    <t>`=DATADIF(G2;HOJE();"D")`</t>
  </si>
  <si>
    <t>`=DATADIF(G2;HOJE();"Y")`</t>
  </si>
  <si>
    <t>`=DIAS360(C2;F2)`</t>
  </si>
  <si>
    <t>`=DIA.TRABALHOTOTAL.INTL(C2;F2;7;Feriados!A2:A5)`</t>
  </si>
  <si>
    <t>`=DIA.TRABALHOTOTAL(C2;F2;Feriados!A2:A5)`</t>
  </si>
  <si>
    <t>`=DIA.TRABALHO.INTL(C2;D2;7;Feriados!A2:A5)`</t>
  </si>
  <si>
    <t>`=DIA.TRABALHO(C2;D2;Feriados!A2:A5)`</t>
  </si>
  <si>
    <t>`=DIA.DA.SEMANA(C2;2)`</t>
  </si>
  <si>
    <t>Dia da Semana EX1</t>
  </si>
  <si>
    <t>EX2</t>
  </si>
  <si>
    <t>EX3</t>
  </si>
  <si>
    <t>EX4</t>
  </si>
  <si>
    <t>EX5</t>
  </si>
  <si>
    <t>Ex6</t>
  </si>
  <si>
    <t>Ex7</t>
  </si>
  <si>
    <t>ex8</t>
  </si>
  <si>
    <t>EX9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</si>
</sst>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B2EB3-407B-4C57-BAB6-DD7103A5F499}" name="Feriados" displayName="Feriados" ref="A1:A5" totalsRowShown="0" headerRowDxfId="0">
  <autoFilter ref="A1:A5" xr:uid="{58AB2EB3-407B-4C57-BAB6-DD7103A5F499}"/>
  <tableColumns count="1">
    <tableColumn id="1" xr3:uid="{0CE84296-496D-454E-B361-C51075259368}" name="Feriado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workbookViewId="0">
      <selection activeCell="P2" sqref="P2:P9"/>
    </sheetView>
  </sheetViews>
  <sheetFormatPr defaultRowHeight="14.5" x14ac:dyDescent="0.35"/>
  <cols>
    <col min="1" max="1" width="2.6328125" bestFit="1" customWidth="1"/>
    <col min="2" max="2" width="15.26953125" bestFit="1" customWidth="1"/>
    <col min="3" max="3" width="10.453125" bestFit="1" customWidth="1"/>
    <col min="4" max="4" width="15.453125" bestFit="1" customWidth="1"/>
    <col min="5" max="5" width="9.7265625" bestFit="1" customWidth="1"/>
    <col min="6" max="6" width="24" customWidth="1"/>
    <col min="7" max="7" width="22.36328125" bestFit="1" customWidth="1"/>
    <col min="8" max="8" width="16.453125" customWidth="1"/>
    <col min="9" max="9" width="14.81640625" customWidth="1"/>
    <col min="10" max="10" width="14.36328125" customWidth="1"/>
    <col min="11" max="11" width="10.453125" bestFit="1" customWidth="1"/>
    <col min="14" max="14" width="11.3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 x14ac:dyDescent="0.35">
      <c r="A2">
        <v>1</v>
      </c>
      <c r="B2" t="s">
        <v>7</v>
      </c>
      <c r="C2" t="s">
        <v>8</v>
      </c>
      <c r="D2">
        <v>15</v>
      </c>
      <c r="F2" t="s">
        <v>9</v>
      </c>
      <c r="G2" t="s">
        <v>10</v>
      </c>
      <c r="H2">
        <f>WEEKDAY(C2,2)</f>
        <v>4</v>
      </c>
      <c r="I2" s="2">
        <f>WORKDAY(C2,D2,Feriados[Feriados])</f>
        <v>46185</v>
      </c>
      <c r="J2" s="2">
        <f>WORKDAY.INTL(C2,D2,1,Feriados[])</f>
        <v>46185</v>
      </c>
      <c r="K2" s="3">
        <f>NETWORKDAYS(C2,F2,Feriados[])</f>
        <v>20</v>
      </c>
      <c r="L2">
        <f>NETWORKDAYS.INTL(Projetos!C2,Projetos!F2,1,Feriados[])</f>
        <v>20</v>
      </c>
      <c r="M2">
        <f>DAYS360(C2,F2)</f>
        <v>27</v>
      </c>
      <c r="N2">
        <f ca="1">DATEDIF(G2,TODAY(),"y")</f>
        <v>27</v>
      </c>
      <c r="O2">
        <f ca="1">DATEDIF(G2,TODAY(),"M")</f>
        <v>333</v>
      </c>
      <c r="P2">
        <f ca="1">DATEDIF(G2,TODAY(),"D")</f>
        <v>10141</v>
      </c>
    </row>
    <row r="3" spans="1:16" x14ac:dyDescent="0.35">
      <c r="A3">
        <v>2</v>
      </c>
      <c r="B3" t="s">
        <v>11</v>
      </c>
      <c r="C3" t="s">
        <v>12</v>
      </c>
      <c r="D3">
        <v>10</v>
      </c>
      <c r="F3" t="s">
        <v>13</v>
      </c>
      <c r="G3" t="s">
        <v>14</v>
      </c>
      <c r="H3">
        <f t="shared" ref="H3:H9" si="0">WEEKDAY(C3,2)</f>
        <v>1</v>
      </c>
      <c r="I3" s="2">
        <f>WORKDAY(C3,D3,Feriados[Feriados])</f>
        <v>46182</v>
      </c>
      <c r="J3" s="2">
        <f>WORKDAY.INTL(C3,D3,1,Feriados[])</f>
        <v>46182</v>
      </c>
      <c r="K3" s="3">
        <f>NETWORKDAYS(C3,F3,Feriados[])</f>
        <v>19</v>
      </c>
      <c r="L3">
        <f>NETWORKDAYS.INTL(Projetos!C3,Projetos!F3,1,Feriados[])</f>
        <v>19</v>
      </c>
      <c r="M3">
        <f t="shared" ref="M3:M9" si="1">DAYS360(C3,F3)</f>
        <v>25</v>
      </c>
      <c r="N3">
        <f t="shared" ref="N3:N9" ca="1" si="2">DATEDIF(G3,TODAY(),"y")</f>
        <v>31</v>
      </c>
      <c r="O3">
        <f t="shared" ref="O3:O9" ca="1" si="3">DATEDIF(G3,TODAY(),"M")</f>
        <v>373</v>
      </c>
      <c r="P3">
        <f t="shared" ref="P3:P9" ca="1" si="4">DATEDIF(G3,TODAY(),"D")</f>
        <v>11383</v>
      </c>
    </row>
    <row r="4" spans="1:16" x14ac:dyDescent="0.35">
      <c r="A4">
        <v>3</v>
      </c>
      <c r="B4" t="s">
        <v>15</v>
      </c>
      <c r="C4" t="s">
        <v>16</v>
      </c>
      <c r="D4">
        <v>20</v>
      </c>
      <c r="F4" t="s">
        <v>17</v>
      </c>
      <c r="G4" t="s">
        <v>18</v>
      </c>
      <c r="H4">
        <f t="shared" si="0"/>
        <v>1</v>
      </c>
      <c r="I4" s="2">
        <f>WORKDAY(C4,D4,Feriados[Feriados])</f>
        <v>46203</v>
      </c>
      <c r="J4" s="2">
        <f>WORKDAY.INTL(C4,D4,1,Feriados[])</f>
        <v>46203</v>
      </c>
      <c r="K4" s="3">
        <f>NETWORKDAYS(C4,F4,Feriados[])</f>
        <v>24</v>
      </c>
      <c r="L4">
        <f>NETWORKDAYS.INTL(Projetos!C4,Projetos!F4,1,Feriados[])</f>
        <v>24</v>
      </c>
      <c r="M4">
        <f t="shared" si="1"/>
        <v>34</v>
      </c>
      <c r="N4">
        <f t="shared" ca="1" si="2"/>
        <v>26</v>
      </c>
      <c r="O4">
        <f t="shared" ca="1" si="3"/>
        <v>316</v>
      </c>
      <c r="P4">
        <f t="shared" ca="1" si="4"/>
        <v>9628</v>
      </c>
    </row>
    <row r="5" spans="1:16" x14ac:dyDescent="0.35">
      <c r="A5">
        <v>4</v>
      </c>
      <c r="B5" t="s">
        <v>19</v>
      </c>
      <c r="C5" t="s">
        <v>20</v>
      </c>
      <c r="D5">
        <v>12</v>
      </c>
      <c r="F5" t="s">
        <v>21</v>
      </c>
      <c r="G5" t="s">
        <v>22</v>
      </c>
      <c r="H5">
        <f t="shared" si="0"/>
        <v>3</v>
      </c>
      <c r="I5" s="2">
        <f>WORKDAY(C5,D5,Feriados[Feriados])</f>
        <v>46195</v>
      </c>
      <c r="J5" s="2">
        <f>WORKDAY.INTL(C5,D5,1,Feriados[])</f>
        <v>46195</v>
      </c>
      <c r="K5" s="3">
        <f>NETWORKDAYS(C5,F5,Feriados[])</f>
        <v>16</v>
      </c>
      <c r="L5">
        <f>NETWORKDAYS.INTL(Projetos!C5,Projetos!F5,1,Feriados[])</f>
        <v>16</v>
      </c>
      <c r="M5">
        <f t="shared" si="1"/>
        <v>22</v>
      </c>
      <c r="N5">
        <f t="shared" ca="1" si="2"/>
        <v>33</v>
      </c>
      <c r="O5">
        <f t="shared" ca="1" si="3"/>
        <v>402</v>
      </c>
      <c r="P5">
        <f t="shared" ca="1" si="4"/>
        <v>12250</v>
      </c>
    </row>
    <row r="6" spans="1:16" x14ac:dyDescent="0.35">
      <c r="A6">
        <v>5</v>
      </c>
      <c r="B6" t="s">
        <v>23</v>
      </c>
      <c r="C6" t="s">
        <v>24</v>
      </c>
      <c r="D6">
        <v>18</v>
      </c>
      <c r="F6" t="s">
        <v>25</v>
      </c>
      <c r="G6" t="s">
        <v>26</v>
      </c>
      <c r="H6">
        <f t="shared" si="0"/>
        <v>1</v>
      </c>
      <c r="I6" s="2">
        <f>WORKDAY(C6,D6,Feriados[Feriados])</f>
        <v>46205</v>
      </c>
      <c r="J6" s="2">
        <f>WORKDAY.INTL(C6,D6,1,Feriados[])</f>
        <v>46205</v>
      </c>
      <c r="K6" s="3">
        <f>NETWORKDAYS(C6,F6,Feriados[])</f>
        <v>24</v>
      </c>
      <c r="L6">
        <f>NETWORKDAYS.INTL(Projetos!C6,Projetos!F6,1,Feriados[])</f>
        <v>24</v>
      </c>
      <c r="M6">
        <f t="shared" si="1"/>
        <v>32</v>
      </c>
      <c r="N6">
        <f t="shared" ca="1" si="2"/>
        <v>28</v>
      </c>
      <c r="O6">
        <f t="shared" ca="1" si="3"/>
        <v>345</v>
      </c>
      <c r="P6">
        <f t="shared" ca="1" si="4"/>
        <v>10522</v>
      </c>
    </row>
    <row r="7" spans="1:16" x14ac:dyDescent="0.35">
      <c r="A7">
        <v>6</v>
      </c>
      <c r="B7" t="s">
        <v>27</v>
      </c>
      <c r="C7" t="s">
        <v>28</v>
      </c>
      <c r="D7">
        <v>25</v>
      </c>
      <c r="F7" t="s">
        <v>29</v>
      </c>
      <c r="G7" t="s">
        <v>30</v>
      </c>
      <c r="H7">
        <f t="shared" si="0"/>
        <v>1</v>
      </c>
      <c r="I7" s="2">
        <f>WORKDAY(C7,D7,Feriados[Feriados])</f>
        <v>46224</v>
      </c>
      <c r="J7" s="2">
        <f>WORKDAY.INTL(C7,D7,1,Feriados[])</f>
        <v>46224</v>
      </c>
      <c r="K7" s="3">
        <f>NETWORKDAYS(C7,F7,Feriados[])</f>
        <v>31</v>
      </c>
      <c r="L7">
        <f>NETWORKDAYS.INTL(Projetos!C7,Projetos!F7,1,Feriados[])</f>
        <v>31</v>
      </c>
      <c r="M7">
        <f t="shared" si="1"/>
        <v>43</v>
      </c>
      <c r="N7">
        <f t="shared" ca="1" si="2"/>
        <v>32</v>
      </c>
      <c r="O7">
        <f t="shared" ca="1" si="3"/>
        <v>387</v>
      </c>
      <c r="P7">
        <f t="shared" ca="1" si="4"/>
        <v>11784</v>
      </c>
    </row>
    <row r="8" spans="1:16" x14ac:dyDescent="0.35">
      <c r="A8">
        <v>7</v>
      </c>
      <c r="B8" t="s">
        <v>31</v>
      </c>
      <c r="C8" t="s">
        <v>9</v>
      </c>
      <c r="D8">
        <v>8</v>
      </c>
      <c r="F8" t="s">
        <v>32</v>
      </c>
      <c r="G8" t="s">
        <v>33</v>
      </c>
      <c r="H8">
        <f t="shared" si="0"/>
        <v>4</v>
      </c>
      <c r="I8" s="2">
        <f>WORKDAY(C8,D8,Feriados[Feriados])</f>
        <v>46203</v>
      </c>
      <c r="J8" s="2">
        <f>WORKDAY.INTL(C8,D8,1,Feriados[])</f>
        <v>46203</v>
      </c>
      <c r="K8" s="3">
        <f>NETWORKDAYS(C8,F8,Feriados[])</f>
        <v>11</v>
      </c>
      <c r="L8">
        <f>NETWORKDAYS.INTL(Projetos!C8,Projetos!F8,1,Feriados[])</f>
        <v>11</v>
      </c>
      <c r="M8">
        <f t="shared" si="1"/>
        <v>14</v>
      </c>
      <c r="N8">
        <f t="shared" ca="1" si="2"/>
        <v>26</v>
      </c>
      <c r="O8">
        <f t="shared" ca="1" si="3"/>
        <v>320</v>
      </c>
      <c r="P8">
        <f t="shared" ca="1" si="4"/>
        <v>9741</v>
      </c>
    </row>
    <row r="9" spans="1:16" x14ac:dyDescent="0.35">
      <c r="A9">
        <v>8</v>
      </c>
      <c r="B9" t="s">
        <v>34</v>
      </c>
      <c r="C9" t="s">
        <v>35</v>
      </c>
      <c r="D9">
        <v>30</v>
      </c>
      <c r="F9" t="s">
        <v>36</v>
      </c>
      <c r="G9" t="s">
        <v>37</v>
      </c>
      <c r="H9">
        <f t="shared" si="0"/>
        <v>1</v>
      </c>
      <c r="I9" s="2">
        <f>WORKDAY(C9,D9,Feriados[Feriados])</f>
        <v>46238</v>
      </c>
      <c r="J9" s="2">
        <f>WORKDAY.INTL(C9,D9,1,Feriados[])</f>
        <v>46238</v>
      </c>
      <c r="K9" s="3">
        <f>NETWORKDAYS(C9,F9,Feriados[])</f>
        <v>32</v>
      </c>
      <c r="L9">
        <f>NETWORKDAYS.INTL(Projetos!C9,Projetos!F9,1,Feriados[])</f>
        <v>32</v>
      </c>
      <c r="M9">
        <f t="shared" si="1"/>
        <v>43</v>
      </c>
      <c r="N9">
        <f t="shared" ca="1" si="2"/>
        <v>34</v>
      </c>
      <c r="O9">
        <f t="shared" ca="1" si="3"/>
        <v>413</v>
      </c>
      <c r="P9">
        <f t="shared" ca="1" si="4"/>
        <v>12583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C5" sqref="C5"/>
    </sheetView>
  </sheetViews>
  <sheetFormatPr defaultRowHeight="14.5" x14ac:dyDescent="0.35"/>
  <cols>
    <col min="1" max="1" width="20" customWidth="1"/>
  </cols>
  <sheetData>
    <row r="1" spans="1:1" x14ac:dyDescent="0.35">
      <c r="A1" s="1" t="s">
        <v>38</v>
      </c>
    </row>
    <row r="2" spans="1:1" x14ac:dyDescent="0.35">
      <c r="A2" t="s">
        <v>39</v>
      </c>
    </row>
    <row r="3" spans="1:1" x14ac:dyDescent="0.35">
      <c r="A3" t="s">
        <v>40</v>
      </c>
    </row>
    <row r="4" spans="1:1" x14ac:dyDescent="0.35">
      <c r="A4" t="s">
        <v>41</v>
      </c>
    </row>
    <row r="5" spans="1:1" x14ac:dyDescent="0.35">
      <c r="A5" t="s">
        <v>42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11" sqref="A11:A13"/>
    </sheetView>
  </sheetViews>
  <sheetFormatPr defaultRowHeight="14.5" x14ac:dyDescent="0.35"/>
  <cols>
    <col min="1" max="1" width="120" customWidth="1"/>
  </cols>
  <sheetData>
    <row r="1" spans="1:1" x14ac:dyDescent="0.35">
      <c r="A1" t="s">
        <v>43</v>
      </c>
    </row>
    <row r="3" spans="1:1" x14ac:dyDescent="0.35">
      <c r="A3" t="s">
        <v>44</v>
      </c>
    </row>
    <row r="5" spans="1:1" x14ac:dyDescent="0.35">
      <c r="A5" t="s">
        <v>45</v>
      </c>
    </row>
    <row r="6" spans="1:1" x14ac:dyDescent="0.35">
      <c r="A6" t="s">
        <v>46</v>
      </c>
    </row>
    <row r="7" spans="1:1" x14ac:dyDescent="0.35">
      <c r="A7" t="s">
        <v>47</v>
      </c>
    </row>
    <row r="8" spans="1:1" x14ac:dyDescent="0.35">
      <c r="A8" t="s">
        <v>48</v>
      </c>
    </row>
    <row r="9" spans="1:1" x14ac:dyDescent="0.35">
      <c r="A9" t="s">
        <v>49</v>
      </c>
    </row>
    <row r="10" spans="1:1" x14ac:dyDescent="0.35">
      <c r="A10" t="s">
        <v>50</v>
      </c>
    </row>
    <row r="11" spans="1:1" x14ac:dyDescent="0.35">
      <c r="A11" t="s">
        <v>51</v>
      </c>
    </row>
    <row r="12" spans="1:1" x14ac:dyDescent="0.35">
      <c r="A12" t="s">
        <v>52</v>
      </c>
    </row>
    <row r="13" spans="1:1" x14ac:dyDescent="0.35">
      <c r="A13" t="s">
        <v>53</v>
      </c>
    </row>
    <row r="15" spans="1:1" x14ac:dyDescent="0.35">
      <c r="A15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abSelected="1" workbookViewId="0">
      <selection activeCell="B16" sqref="B16"/>
    </sheetView>
  </sheetViews>
  <sheetFormatPr defaultRowHeight="14.5" x14ac:dyDescent="0.35"/>
  <cols>
    <col min="1" max="2" width="50" customWidth="1"/>
    <col min="3" max="3" width="10.1796875" customWidth="1"/>
  </cols>
  <sheetData>
    <row r="1" spans="1:2" x14ac:dyDescent="0.35">
      <c r="A1" s="1" t="s">
        <v>55</v>
      </c>
      <c r="B1" s="1" t="s">
        <v>56</v>
      </c>
    </row>
    <row r="2" spans="1:2" x14ac:dyDescent="0.35">
      <c r="A2" t="s">
        <v>57</v>
      </c>
      <c r="B2" t="s">
        <v>74</v>
      </c>
    </row>
    <row r="3" spans="1:2" x14ac:dyDescent="0.35">
      <c r="A3" t="s">
        <v>58</v>
      </c>
      <c r="B3" t="s">
        <v>73</v>
      </c>
    </row>
    <row r="4" spans="1:2" x14ac:dyDescent="0.35">
      <c r="A4" t="s">
        <v>59</v>
      </c>
      <c r="B4" t="s">
        <v>72</v>
      </c>
    </row>
    <row r="5" spans="1:2" x14ac:dyDescent="0.35">
      <c r="A5" t="s">
        <v>60</v>
      </c>
      <c r="B5" t="s">
        <v>71</v>
      </c>
    </row>
    <row r="6" spans="1:2" x14ac:dyDescent="0.35">
      <c r="A6" t="s">
        <v>61</v>
      </c>
      <c r="B6" t="s">
        <v>70</v>
      </c>
    </row>
    <row r="7" spans="1:2" x14ac:dyDescent="0.35">
      <c r="A7" t="s">
        <v>62</v>
      </c>
      <c r="B7" t="s">
        <v>69</v>
      </c>
    </row>
    <row r="8" spans="1:2" x14ac:dyDescent="0.35">
      <c r="A8" t="s">
        <v>63</v>
      </c>
      <c r="B8" t="s">
        <v>68</v>
      </c>
    </row>
    <row r="9" spans="1:2" x14ac:dyDescent="0.35">
      <c r="A9" t="s">
        <v>64</v>
      </c>
      <c r="B9" t="s">
        <v>66</v>
      </c>
    </row>
    <row r="10" spans="1:2" x14ac:dyDescent="0.35">
      <c r="A10" t="s">
        <v>65</v>
      </c>
      <c r="B10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Projetos</vt:lpstr>
      <vt:lpstr>Feriados</vt:lpstr>
      <vt:lpstr>Exercicios</vt:lpstr>
      <vt:lpstr>Gabarito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Spoljaric</cp:lastModifiedBy>
  <dcterms:created xsi:type="dcterms:W3CDTF">2026-05-21T11:56:01Z</dcterms:created>
  <dcterms:modified xsi:type="dcterms:W3CDTF">2026-05-21T13:08:00Z</dcterms:modified>
</cp:coreProperties>
</file>