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rof. Luis\Downloads\"/>
    </mc:Choice>
  </mc:AlternateContent>
  <xr:revisionPtr revIDLastSave="0" documentId="13_ncr:1_{65E1BB8F-D2F6-45CE-80DD-F50DE5D98F2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Produtos" sheetId="1" r:id="rId1"/>
    <sheet name="Vendas" sheetId="2" r:id="rId2"/>
    <sheet name="Análise" sheetId="3" r:id="rId3"/>
    <sheet name="Vendas por Produto" sheetId="4" r:id="rId4"/>
    <sheet name="Faturamento por Produto" sheetId="5" r:id="rId5"/>
    <sheet name="Vendas por Dia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B4" i="3"/>
  <c r="B3" i="3"/>
  <c r="B2" i="3"/>
  <c r="A5" i="5"/>
  <c r="A4" i="5"/>
  <c r="A3" i="5"/>
  <c r="A2" i="5"/>
  <c r="A5" i="4"/>
  <c r="A4" i="4"/>
  <c r="A3" i="4"/>
  <c r="A2" i="4"/>
</calcChain>
</file>

<file path=xl/sharedStrings.xml><?xml version="1.0" encoding="utf-8"?>
<sst xmlns="http://schemas.openxmlformats.org/spreadsheetml/2006/main" count="37" uniqueCount="26">
  <si>
    <t>Código</t>
  </si>
  <si>
    <t>Nome</t>
  </si>
  <si>
    <t>Preço Unitário</t>
  </si>
  <si>
    <t>Estoque</t>
  </si>
  <si>
    <t>Mouse</t>
  </si>
  <si>
    <t>FORMULÁRIO CADASTRO</t>
  </si>
  <si>
    <t>Teclado</t>
  </si>
  <si>
    <t>Monitor</t>
  </si>
  <si>
    <t>Headset</t>
  </si>
  <si>
    <t>Preço</t>
  </si>
  <si>
    <t>Nome do Produto</t>
  </si>
  <si>
    <t>Data da Venda</t>
  </si>
  <si>
    <t>Quantidade</t>
  </si>
  <si>
    <t>Valor Total</t>
  </si>
  <si>
    <t>FORMULÁRIO VENDA</t>
  </si>
  <si>
    <t>Produto</t>
  </si>
  <si>
    <t>Data</t>
  </si>
  <si>
    <t>Indicador</t>
  </si>
  <si>
    <t>Resultado</t>
  </si>
  <si>
    <t>Total de Vendas Registradas</t>
  </si>
  <si>
    <t>Faturamento Total</t>
  </si>
  <si>
    <t>Média de Vendas</t>
  </si>
  <si>
    <t>Quantidade de Vendas</t>
  </si>
  <si>
    <t>Faturamento</t>
  </si>
  <si>
    <t>26/05/2026</t>
  </si>
  <si>
    <t>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</si>
</sst>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6">
    <xf numFmtId="0" fontId="0" fillId="0" borderId="0" xfId="0"/>
    <xf numFmtId="0" fontId="1" fillId="2" borderId="0" xfId="0" applyFont="1" applyFill="1"/>
    <xf numFmtId="0" fontId="2" fillId="0" borderId="0" xfId="0" applyFont="1"/>
    <xf numFmtId="14" fontId="0" fillId="0" borderId="0" xfId="0" applyNumberFormat="1"/>
    <xf numFmtId="44" fontId="0" fillId="0" borderId="0" xfId="1" applyFont="1"/>
    <xf numFmtId="7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1390650</xdr:colOff>
      <xdr:row>0</xdr:row>
      <xdr:rowOff>114300</xdr:rowOff>
    </xdr:from>
    <xdr:to>
      <xdr:col>10</xdr:col>
      <xdr:colOff>0</xdr:colOff>
      <xdr:row>2</xdr:row>
      <xdr:rowOff>95250</xdr:rowOff>
    </xdr:to>
    <xdr:sp macro="[0]!RegistrarProduto" textlink="">
      <xdr:nvSpPr>
        <xdr:cNvPr id="2" name="Retângulo 1">
          <a:extLst>
            <a:ext uri="{FF2B5EF4-FFF2-40B4-BE49-F238E27FC236}">
              <a16:creationId xmlns:a16="http://schemas.microsoft.com/office/drawing/2014/main" id="{C3E3D3E4-60C1-262A-DF35-7E2A4E1FB850}"/>
            </a:ext>
          </a:extLst>
        </xdr:cNvPr>
        <xdr:cNvSpPr/>
      </xdr:nvSpPr>
      <xdr:spPr>
        <a:xfrm>
          <a:off x="13125450" y="114300"/>
          <a:ext cx="1543050" cy="361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 Produto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1343025</xdr:colOff>
      <xdr:row>0</xdr:row>
      <xdr:rowOff>133350</xdr:rowOff>
    </xdr:from>
    <xdr:to>
      <xdr:col>10</xdr:col>
      <xdr:colOff>152400</xdr:colOff>
      <xdr:row>2</xdr:row>
      <xdr:rowOff>133350</xdr:rowOff>
    </xdr:to>
    <xdr:sp macro="[0]!CadastrarVenda" textlink="">
      <xdr:nvSpPr>
        <xdr:cNvPr id="2" name="Retângulo 1">
          <a:extLst>
            <a:ext uri="{FF2B5EF4-FFF2-40B4-BE49-F238E27FC236}">
              <a16:creationId xmlns:a16="http://schemas.microsoft.com/office/drawing/2014/main" id="{C7E70F5B-C4D2-6C4B-F445-708E1A868CDB}"/>
            </a:ext>
          </a:extLst>
        </xdr:cNvPr>
        <xdr:cNvSpPr/>
      </xdr:nvSpPr>
      <xdr:spPr>
        <a:xfrm>
          <a:off x="13077825" y="133350"/>
          <a:ext cx="17430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 Venda</a:t>
          </a:r>
        </a:p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6"/>
  <sheetViews>
    <sheetView tabSelected="1" workbookViewId="0">
      <selection activeCell="C2" sqref="C2"/>
    </sheetView>
  </sheetViews>
  <sheetFormatPr defaultRowHeight="14.5" x14ac:dyDescent="0.35"/>
  <cols>
    <col min="1" max="4" width="22" customWidth="1"/>
    <col min="5" max="5" width="8.6328125" customWidth="1"/>
    <col min="6" max="6" width="5.90625" customWidth="1"/>
    <col min="7" max="7" width="22" customWidth="1"/>
    <col min="8" max="8" width="19.08984375" customWidth="1"/>
    <col min="9" max="9" width="2.1796875" customWidth="1"/>
    <col min="10" max="10" width="22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7" x14ac:dyDescent="0.35">
      <c r="A2">
        <v>1</v>
      </c>
      <c r="B2" t="s">
        <v>4</v>
      </c>
      <c r="C2" s="4">
        <v>59.9</v>
      </c>
      <c r="D2">
        <v>20</v>
      </c>
      <c r="G2" s="2" t="s">
        <v>5</v>
      </c>
    </row>
    <row r="3" spans="1:7" x14ac:dyDescent="0.35">
      <c r="A3">
        <v>2</v>
      </c>
      <c r="B3" t="s">
        <v>6</v>
      </c>
      <c r="C3" s="4">
        <v>129.9</v>
      </c>
      <c r="D3">
        <v>15</v>
      </c>
      <c r="G3" t="s">
        <v>0</v>
      </c>
    </row>
    <row r="4" spans="1:7" x14ac:dyDescent="0.35">
      <c r="A4">
        <v>3</v>
      </c>
      <c r="B4" t="s">
        <v>7</v>
      </c>
      <c r="C4" s="4">
        <v>899.9</v>
      </c>
      <c r="D4">
        <v>8</v>
      </c>
      <c r="G4" t="s">
        <v>1</v>
      </c>
    </row>
    <row r="5" spans="1:7" x14ac:dyDescent="0.35">
      <c r="A5">
        <v>4</v>
      </c>
      <c r="B5" t="s">
        <v>8</v>
      </c>
      <c r="C5" s="4">
        <v>199.9</v>
      </c>
      <c r="D5">
        <v>12</v>
      </c>
      <c r="G5" t="s">
        <v>9</v>
      </c>
    </row>
    <row r="6" spans="1:7" x14ac:dyDescent="0.35">
      <c r="A6">
        <v>5</v>
      </c>
      <c r="B6" t="s">
        <v>25</v>
      </c>
      <c r="C6">
        <v>500</v>
      </c>
      <c r="D6">
        <v>15</v>
      </c>
      <c r="G6" t="s">
        <v>3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H6"/>
  <sheetViews>
    <sheetView workbookViewId="0">
      <selection activeCell="I4" sqref="I4"/>
    </sheetView>
  </sheetViews>
  <sheetFormatPr defaultRowHeight="14.5" x14ac:dyDescent="0.35"/>
  <cols>
    <col min="1" max="10" width="22" customWidth="1"/>
  </cols>
  <sheetData>
    <row r="1" spans="1:8" x14ac:dyDescent="0.35">
      <c r="A1" s="1" t="s">
        <v>10</v>
      </c>
      <c r="B1" s="1" t="s">
        <v>2</v>
      </c>
      <c r="C1" s="1" t="s">
        <v>11</v>
      </c>
      <c r="D1" s="1" t="s">
        <v>12</v>
      </c>
      <c r="E1" s="1" t="s">
        <v>13</v>
      </c>
    </row>
    <row r="2" spans="1:8" x14ac:dyDescent="0.35">
      <c r="A2" t="s">
        <v>25</v>
      </c>
      <c r="B2" s="5">
        <v>500</v>
      </c>
      <c r="C2" s="3">
        <v>46169</v>
      </c>
      <c r="D2">
        <v>2</v>
      </c>
      <c r="E2">
        <f>B2*D2</f>
        <v>1000</v>
      </c>
      <c r="G2" s="2" t="s">
        <v>14</v>
      </c>
    </row>
    <row r="3" spans="1:8" x14ac:dyDescent="0.35">
      <c r="B3" s="5"/>
      <c r="C3" s="3"/>
      <c r="G3" t="s">
        <v>15</v>
      </c>
    </row>
    <row r="4" spans="1:8" x14ac:dyDescent="0.35">
      <c r="G4" t="s">
        <v>9</v>
      </c>
      <c r="H4" s="4"/>
    </row>
    <row r="5" spans="1:8" x14ac:dyDescent="0.35">
      <c r="G5" t="s">
        <v>16</v>
      </c>
      <c r="H5" s="3"/>
    </row>
    <row r="6" spans="1:8" x14ac:dyDescent="0.35">
      <c r="G6" t="s">
        <v>12</v>
      </c>
    </row>
  </sheetData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100-000000000000}">
          <x14:formula1>
            <xm:f>Produtos!$B$2:$B$100</xm:f>
          </x14:formula1>
          <xm:sqref>H3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B4"/>
  <sheetViews>
    <sheetView workbookViewId="0">
      <selection activeCell="B2" sqref="B2"/>
    </sheetView>
  </sheetViews>
  <sheetFormatPr defaultRowHeight="14.5" x14ac:dyDescent="0.35"/>
  <cols>
    <col min="1" max="11" width="22" customWidth="1"/>
  </cols>
  <sheetData>
    <row r="1" spans="1:2" x14ac:dyDescent="0.35">
      <c r="A1" s="1" t="s">
        <v>17</v>
      </c>
      <c r="B1" s="1" t="s">
        <v>18</v>
      </c>
    </row>
    <row r="2" spans="1:2" x14ac:dyDescent="0.35">
      <c r="A2" t="s">
        <v>19</v>
      </c>
      <c r="B2">
        <f>COUNTA(Vendas!A2:A1000)</f>
        <v>1</v>
      </c>
    </row>
    <row r="3" spans="1:2" x14ac:dyDescent="0.35">
      <c r="A3" t="s">
        <v>20</v>
      </c>
      <c r="B3">
        <f>SUM(Vendas!E2:E1000)</f>
        <v>1000</v>
      </c>
    </row>
    <row r="4" spans="1:2" x14ac:dyDescent="0.35">
      <c r="A4" t="s">
        <v>21</v>
      </c>
      <c r="B4">
        <f>AVERAGE(Vendas!E2:E1000)</f>
        <v>1000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B5"/>
  <sheetViews>
    <sheetView workbookViewId="0">
      <selection activeCell="B4" sqref="B4"/>
    </sheetView>
  </sheetViews>
  <sheetFormatPr defaultRowHeight="14.5" x14ac:dyDescent="0.35"/>
  <cols>
    <col min="1" max="11" width="22" customWidth="1"/>
  </cols>
  <sheetData>
    <row r="1" spans="1:2" x14ac:dyDescent="0.35">
      <c r="A1" s="1" t="s">
        <v>15</v>
      </c>
      <c r="B1" s="1" t="s">
        <v>22</v>
      </c>
    </row>
    <row r="2" spans="1:2" x14ac:dyDescent="0.35">
      <c r="A2" t="str">
        <f>Produtos!B2</f>
        <v>Mouse</v>
      </c>
    </row>
    <row r="3" spans="1:2" x14ac:dyDescent="0.35">
      <c r="A3" t="str">
        <f>Produtos!B3</f>
        <v>Teclado</v>
      </c>
    </row>
    <row r="4" spans="1:2" x14ac:dyDescent="0.35">
      <c r="A4" t="str">
        <f>Produtos!B4</f>
        <v>Monitor</v>
      </c>
    </row>
    <row r="5" spans="1:2" x14ac:dyDescent="0.35">
      <c r="A5" t="str">
        <f>Produtos!B5</f>
        <v>Headset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5"/>
  <sheetViews>
    <sheetView workbookViewId="0">
      <selection activeCell="B2" sqref="B2"/>
    </sheetView>
  </sheetViews>
  <sheetFormatPr defaultRowHeight="14.5" x14ac:dyDescent="0.35"/>
  <cols>
    <col min="1" max="11" width="22" customWidth="1"/>
  </cols>
  <sheetData>
    <row r="1" spans="1:2" x14ac:dyDescent="0.35">
      <c r="A1" s="1" t="s">
        <v>15</v>
      </c>
      <c r="B1" s="1" t="s">
        <v>23</v>
      </c>
    </row>
    <row r="2" spans="1:2" x14ac:dyDescent="0.35">
      <c r="A2" t="str">
        <f>Produtos!B2</f>
        <v>Mouse</v>
      </c>
    </row>
    <row r="3" spans="1:2" x14ac:dyDescent="0.35">
      <c r="A3" t="str">
        <f>Produtos!B3</f>
        <v>Teclado</v>
      </c>
    </row>
    <row r="4" spans="1:2" x14ac:dyDescent="0.35">
      <c r="A4" t="str">
        <f>Produtos!B4</f>
        <v>Monitor</v>
      </c>
    </row>
    <row r="5" spans="1:2" x14ac:dyDescent="0.35">
      <c r="A5" t="str">
        <f>Produtos!B5</f>
        <v>Headset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2"/>
  <sheetViews>
    <sheetView workbookViewId="0">
      <selection activeCell="B2" sqref="B2"/>
    </sheetView>
  </sheetViews>
  <sheetFormatPr defaultRowHeight="14.5" x14ac:dyDescent="0.35"/>
  <cols>
    <col min="1" max="11" width="22" customWidth="1"/>
  </cols>
  <sheetData>
    <row r="1" spans="1:2" x14ac:dyDescent="0.35">
      <c r="A1" s="1" t="s">
        <v>16</v>
      </c>
      <c r="B1" s="1" t="s">
        <v>22</v>
      </c>
    </row>
    <row r="2" spans="1:2" x14ac:dyDescent="0.35">
      <c r="A2" t="s">
        <v>24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Produtos</vt:lpstr>
      <vt:lpstr>Vendas</vt:lpstr>
      <vt:lpstr>Análise</vt:lpstr>
      <vt:lpstr>Vendas por Produto</vt:lpstr>
      <vt:lpstr>Faturamento por Produto</vt:lpstr>
      <vt:lpstr>Vendas por Dia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Luis Fernando Spoljaric</cp:lastModifiedBy>
  <dcterms:created xsi:type="dcterms:W3CDTF">2026-05-26T18:47:37Z</dcterms:created>
  <dcterms:modified xsi:type="dcterms:W3CDTF">2026-05-27T11:37:09Z</dcterms:modified>
</cp:coreProperties>
</file>