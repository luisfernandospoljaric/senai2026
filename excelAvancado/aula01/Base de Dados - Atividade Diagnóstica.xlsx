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. Luis\Documents\GitHub\senai2026\excelAvancado\aula01\"/>
    </mc:Choice>
  </mc:AlternateContent>
  <xr:revisionPtr revIDLastSave="0" documentId="13_ncr:1_{7E6FED72-AF33-4FA9-8FF3-2C63DB31053E}" xr6:coauthVersionLast="47" xr6:coauthVersionMax="47" xr10:uidLastSave="{00000000-0000-0000-0000-000000000000}"/>
  <bookViews>
    <workbookView xWindow="-110" yWindow="-110" windowWidth="19420" windowHeight="10300" xr2:uid="{50CEBCFD-DA60-4D40-B497-E1EF5C83A1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E2" i="1"/>
  <c r="B16" i="1"/>
  <c r="B14" i="1"/>
  <c r="B13" i="1"/>
  <c r="B12" i="1"/>
  <c r="B9" i="1"/>
  <c r="E3" i="1"/>
  <c r="E4" i="1"/>
  <c r="E5" i="1"/>
  <c r="E6" i="1"/>
  <c r="E7" i="1"/>
  <c r="E8" i="1"/>
</calcChain>
</file>

<file path=xl/sharedStrings.xml><?xml version="1.0" encoding="utf-8"?>
<sst xmlns="http://schemas.openxmlformats.org/spreadsheetml/2006/main" count="23" uniqueCount="23">
  <si>
    <t>Produto A</t>
  </si>
  <si>
    <t>PA-123</t>
  </si>
  <si>
    <t>Produto B</t>
  </si>
  <si>
    <t>PB-456</t>
  </si>
  <si>
    <t>Produto C</t>
  </si>
  <si>
    <t>Produto D</t>
  </si>
  <si>
    <t>PA-987</t>
  </si>
  <si>
    <t>Produto E</t>
  </si>
  <si>
    <t>PB-654</t>
  </si>
  <si>
    <t>Produto F</t>
  </si>
  <si>
    <t>PA-321</t>
  </si>
  <si>
    <t>Produto G</t>
  </si>
  <si>
    <t>Nome do Produto</t>
  </si>
  <si>
    <t>Quantidade Vendida</t>
  </si>
  <si>
    <t>Preço Unitário</t>
  </si>
  <si>
    <t>Código do Produto</t>
  </si>
  <si>
    <t>Faturamento</t>
  </si>
  <si>
    <t>Total Vendido</t>
  </si>
  <si>
    <t>Media Preço Unitário</t>
  </si>
  <si>
    <t>Menor Preço Unit.</t>
  </si>
  <si>
    <t>Maior Preço Unit</t>
  </si>
  <si>
    <t>Arrendondar média Preço Unit.</t>
  </si>
  <si>
    <t>Codigos Preenchidos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</si>
</sst>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44" fontId="0" fillId="3" borderId="2" xfId="1" applyFont="1" applyFill="1" applyBorder="1"/>
    <xf numFmtId="44" fontId="0" fillId="3" borderId="1" xfId="1" applyFont="1" applyFill="1" applyBorder="1"/>
    <xf numFmtId="4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por</a:t>
            </a:r>
            <a:r>
              <a:rPr lang="pt-BR" baseline="0"/>
              <a:t> Produto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Planilha1!$A$2:$A$8</c:f>
              <c:strCache>
                <c:ptCount val="7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  <c:pt idx="3">
                  <c:v>Produto D</c:v>
                </c:pt>
                <c:pt idx="4">
                  <c:v>Produto E</c:v>
                </c:pt>
                <c:pt idx="5">
                  <c:v>Produto F</c:v>
                </c:pt>
                <c:pt idx="6">
                  <c:v>Produto G</c:v>
                </c:pt>
              </c:strCache>
            </c:strRef>
          </c:cat>
          <c:val>
            <c:numRef>
              <c:f>Planilha1!$E$2:$E$8</c:f>
              <c:numCache>
                <c:formatCode>_("R$"* #,##0.00_);_("R$"* \(#,##0.00\);_("R$"* "-"??_);_(@_)</c:formatCode>
                <c:ptCount val="7"/>
                <c:pt idx="0">
                  <c:v>253.70000000000002</c:v>
                </c:pt>
                <c:pt idx="1">
                  <c:v>462.3</c:v>
                </c:pt>
                <c:pt idx="2">
                  <c:v>403</c:v>
                </c:pt>
                <c:pt idx="3">
                  <c:v>430.91999999999996</c:v>
                </c:pt>
                <c:pt idx="4">
                  <c:v>512.64</c:v>
                </c:pt>
                <c:pt idx="5">
                  <c:v>500.72</c:v>
                </c:pt>
                <c:pt idx="6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0-41A4-BD16-757FE04AD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0439136"/>
        <c:axId val="616960592"/>
      </c:barChart>
      <c:catAx>
        <c:axId val="70043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6960592"/>
        <c:crosses val="autoZero"/>
        <c:auto val="1"/>
        <c:lblAlgn val="ctr"/>
        <c:lblOffset val="100"/>
        <c:noMultiLvlLbl val="0"/>
      </c:catAx>
      <c:valAx>
        <c:axId val="61696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043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% de participação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6C-42D0-8440-D07A4C97BA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6C-42D0-8440-D07A4C97BA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6C-42D0-8440-D07A4C97BA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6C-42D0-8440-D07A4C97BA6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66C-42D0-8440-D07A4C97BA6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66C-42D0-8440-D07A4C97BA6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66C-42D0-8440-D07A4C97BA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Planilha1!$A$2:$A$8</c:f>
              <c:strCache>
                <c:ptCount val="7"/>
                <c:pt idx="0">
                  <c:v>Produto A</c:v>
                </c:pt>
                <c:pt idx="1">
                  <c:v>Produto B</c:v>
                </c:pt>
                <c:pt idx="2">
                  <c:v>Produto C</c:v>
                </c:pt>
                <c:pt idx="3">
                  <c:v>Produto D</c:v>
                </c:pt>
                <c:pt idx="4">
                  <c:v>Produto E</c:v>
                </c:pt>
                <c:pt idx="5">
                  <c:v>Produto F</c:v>
                </c:pt>
                <c:pt idx="6">
                  <c:v>Produto G</c:v>
                </c:pt>
              </c:strCache>
            </c:strRef>
          </c:cat>
          <c:val>
            <c:numRef>
              <c:f>Planilha1!$E$2:$E$8</c:f>
              <c:numCache>
                <c:formatCode>_("R$"* #,##0.00_);_("R$"* \(#,##0.00\);_("R$"* "-"??_);_(@_)</c:formatCode>
                <c:ptCount val="7"/>
                <c:pt idx="0">
                  <c:v>253.70000000000002</c:v>
                </c:pt>
                <c:pt idx="1">
                  <c:v>462.3</c:v>
                </c:pt>
                <c:pt idx="2">
                  <c:v>403</c:v>
                </c:pt>
                <c:pt idx="3">
                  <c:v>430.91999999999996</c:v>
                </c:pt>
                <c:pt idx="4">
                  <c:v>512.64</c:v>
                </c:pt>
                <c:pt idx="5">
                  <c:v>500.72</c:v>
                </c:pt>
                <c:pt idx="6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5-4331-A514-C498AFB22D6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222249</xdr:colOff>
      <xdr:row>0</xdr:row>
      <xdr:rowOff>38100</xdr:rowOff>
    </xdr:from>
    <xdr:to>
      <xdr:col>12</xdr:col>
      <xdr:colOff>63500</xdr:colOff>
      <xdr:row>12</xdr:row>
      <xdr:rowOff>12700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935E09-99A1-5404-EA07-170F07238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209550</xdr:colOff>
      <xdr:row>12</xdr:row>
      <xdr:rowOff>44450</xdr:rowOff>
    </xdr:from>
    <xdr:to>
      <xdr:col>12</xdr:col>
      <xdr:colOff>127000</xdr:colOff>
      <xdr:row>23</xdr:row>
      <xdr:rowOff>127000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492B55-6876-0078-E6CF-715A7EE3A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D8C0-707C-4D2B-B6EB-812F4C12AA90}">
  <dimension ref="A1:E16"/>
  <sheetViews>
    <sheetView tabSelected="1" workbookViewId="0">
      <selection activeCell="B13" sqref="B13"/>
    </sheetView>
  </sheetViews>
  <sheetFormatPr defaultRowHeight="14.5" x14ac:dyDescent="0.35"/>
  <cols>
    <col min="1" max="1" width="27.1796875" bestFit="1" customWidth="1"/>
    <col min="2" max="2" width="11.453125" bestFit="1" customWidth="1"/>
    <col min="3" max="3" width="9.7265625" customWidth="1"/>
    <col min="4" max="4" width="13.453125" customWidth="1"/>
    <col min="5" max="5" width="11.7265625" customWidth="1"/>
  </cols>
  <sheetData>
    <row r="1" spans="1:5" ht="29" x14ac:dyDescent="0.35">
      <c r="A1" s="2" t="s">
        <v>12</v>
      </c>
      <c r="B1" s="2" t="s">
        <v>13</v>
      </c>
      <c r="C1" s="3" t="s">
        <v>14</v>
      </c>
      <c r="D1" s="2" t="s">
        <v>15</v>
      </c>
      <c r="E1" s="2" t="s">
        <v>16</v>
      </c>
    </row>
    <row r="2" spans="1:5" x14ac:dyDescent="0.35">
      <c r="A2" s="4" t="s">
        <v>0</v>
      </c>
      <c r="B2" s="4">
        <v>10</v>
      </c>
      <c r="C2" s="5">
        <v>25.37</v>
      </c>
      <c r="D2" s="4" t="s">
        <v>1</v>
      </c>
      <c r="E2" s="6">
        <f>PRODUCT(B2,C2)</f>
        <v>253.70000000000002</v>
      </c>
    </row>
    <row r="3" spans="1:5" x14ac:dyDescent="0.35">
      <c r="A3" s="4" t="s">
        <v>2</v>
      </c>
      <c r="B3" s="4">
        <v>15</v>
      </c>
      <c r="C3" s="5">
        <v>30.82</v>
      </c>
      <c r="D3" s="4" t="s">
        <v>3</v>
      </c>
      <c r="E3" s="6">
        <f t="shared" ref="E3:E8" si="0">PRODUCT(B3,C3)</f>
        <v>462.3</v>
      </c>
    </row>
    <row r="4" spans="1:5" x14ac:dyDescent="0.35">
      <c r="A4" s="4" t="s">
        <v>4</v>
      </c>
      <c r="B4" s="4">
        <v>20</v>
      </c>
      <c r="C4" s="5">
        <v>20.149999999999999</v>
      </c>
      <c r="D4" s="4"/>
      <c r="E4" s="6">
        <f t="shared" si="0"/>
        <v>403</v>
      </c>
    </row>
    <row r="5" spans="1:5" x14ac:dyDescent="0.35">
      <c r="A5" s="4" t="s">
        <v>5</v>
      </c>
      <c r="B5" s="4">
        <v>12</v>
      </c>
      <c r="C5" s="5">
        <v>35.909999999999997</v>
      </c>
      <c r="D5" s="4" t="s">
        <v>6</v>
      </c>
      <c r="E5" s="6">
        <f t="shared" si="0"/>
        <v>430.91999999999996</v>
      </c>
    </row>
    <row r="6" spans="1:5" x14ac:dyDescent="0.35">
      <c r="A6" s="4" t="s">
        <v>7</v>
      </c>
      <c r="B6" s="4">
        <v>18</v>
      </c>
      <c r="C6" s="5">
        <v>28.48</v>
      </c>
      <c r="D6" s="4" t="s">
        <v>8</v>
      </c>
      <c r="E6" s="6">
        <f t="shared" si="0"/>
        <v>512.64</v>
      </c>
    </row>
    <row r="7" spans="1:5" x14ac:dyDescent="0.35">
      <c r="A7" s="4" t="s">
        <v>9</v>
      </c>
      <c r="B7" s="4">
        <v>22</v>
      </c>
      <c r="C7" s="5">
        <v>22.76</v>
      </c>
      <c r="D7" s="4" t="s">
        <v>10</v>
      </c>
      <c r="E7" s="6">
        <f t="shared" si="0"/>
        <v>500.72</v>
      </c>
    </row>
    <row r="8" spans="1:5" x14ac:dyDescent="0.35">
      <c r="A8" s="4" t="s">
        <v>11</v>
      </c>
      <c r="B8" s="4">
        <v>10</v>
      </c>
      <c r="C8" s="5">
        <v>23.5</v>
      </c>
      <c r="D8" s="4"/>
      <c r="E8" s="6">
        <f t="shared" si="0"/>
        <v>235</v>
      </c>
    </row>
    <row r="9" spans="1:5" x14ac:dyDescent="0.35">
      <c r="A9" s="4" t="s">
        <v>17</v>
      </c>
      <c r="B9" s="4">
        <f>SUM(B2:B8)</f>
        <v>107</v>
      </c>
    </row>
    <row r="12" spans="1:5" x14ac:dyDescent="0.35">
      <c r="A12" s="1" t="s">
        <v>18</v>
      </c>
      <c r="B12" s="7">
        <f>AVERAGE(C2:C8)</f>
        <v>26.712857142857139</v>
      </c>
    </row>
    <row r="13" spans="1:5" x14ac:dyDescent="0.35">
      <c r="A13" s="1" t="s">
        <v>19</v>
      </c>
      <c r="B13" s="7">
        <f>MIN(C2:C8)</f>
        <v>20.149999999999999</v>
      </c>
    </row>
    <row r="14" spans="1:5" x14ac:dyDescent="0.35">
      <c r="A14" s="1" t="s">
        <v>20</v>
      </c>
      <c r="B14" s="7">
        <f>MAX(C2:C8)</f>
        <v>35.909999999999997</v>
      </c>
    </row>
    <row r="15" spans="1:5" x14ac:dyDescent="0.35">
      <c r="A15" s="1" t="s">
        <v>21</v>
      </c>
      <c r="B15" s="7">
        <f>ROUND(AVERAGE(C2:C8),0)</f>
        <v>27</v>
      </c>
    </row>
    <row r="16" spans="1:5" x14ac:dyDescent="0.35">
      <c r="A16" s="1" t="s">
        <v>22</v>
      </c>
      <c r="B16" s="8">
        <f>COUNTA(D2:D8)</f>
        <v>5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Reenye Lima</dc:creator>
  <cp:lastModifiedBy>Luis Fernando Spoljaric</cp:lastModifiedBy>
  <dcterms:created xsi:type="dcterms:W3CDTF">2025-02-03T00:59:40Z</dcterms:created>
  <dcterms:modified xsi:type="dcterms:W3CDTF">2026-10-08T13:53:02Z</dcterms:modified>
</cp:coreProperties>
</file>