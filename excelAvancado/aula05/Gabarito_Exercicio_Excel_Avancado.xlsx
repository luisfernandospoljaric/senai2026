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ment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Financiado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'Financiamentos'!E1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'Financiamentos'!$B$2:$B$16</f>
            </numRef>
          </cat>
          <val>
            <numRef>
              <f>'Financiamentos'!$E$2:$E$16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5" customWidth="1" min="4" max="4"/>
    <col width="18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15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Categoria</t>
        </is>
      </c>
      <c r="D1" s="1" t="inlineStr">
        <is>
          <t>Cidade</t>
        </is>
      </c>
      <c r="E1" s="1" t="inlineStr">
        <is>
          <t>Valor Financiado</t>
        </is>
      </c>
      <c r="F1" s="1" t="inlineStr">
        <is>
          <t>Entrada</t>
        </is>
      </c>
      <c r="G1" s="1" t="inlineStr">
        <is>
          <t>Taxa Mensal</t>
        </is>
      </c>
      <c r="H1" s="1" t="inlineStr">
        <is>
          <t>Parcelas</t>
        </is>
      </c>
      <c r="I1" s="1" t="inlineStr">
        <is>
          <t>Pagamento Mensal</t>
        </is>
      </c>
      <c r="J1" s="1" t="inlineStr">
        <is>
          <t>Valor Futuro</t>
        </is>
      </c>
      <c r="K1" s="1" t="inlineStr">
        <is>
          <t>Valor Presente</t>
        </is>
      </c>
      <c r="L1" s="1" t="inlineStr">
        <is>
          <t>Taxa Calculada</t>
        </is>
      </c>
      <c r="M1" s="1" t="inlineStr">
        <is>
          <t>Prazo Necessário</t>
        </is>
      </c>
      <c r="N1" s="1" t="inlineStr">
        <is>
          <t>Status</t>
        </is>
      </c>
      <c r="O1" s="1" t="inlineStr">
        <is>
          <t>Situação Financeira</t>
        </is>
      </c>
    </row>
    <row r="2">
      <c r="A2" t="n">
        <v>1</v>
      </c>
      <c r="B2" t="inlineStr">
        <is>
          <t>Carlos</t>
        </is>
      </c>
      <c r="C2" t="inlineStr">
        <is>
          <t>Notebook</t>
        </is>
      </c>
      <c r="D2" t="inlineStr">
        <is>
          <t>Campinas</t>
        </is>
      </c>
      <c r="E2" s="2" t="n">
        <v>4500</v>
      </c>
      <c r="F2" s="2" t="n">
        <v>500</v>
      </c>
      <c r="G2" s="3" t="n">
        <v>0.018</v>
      </c>
      <c r="H2" t="n">
        <v>24</v>
      </c>
      <c r="I2" s="2">
        <f>PMT(G2,H2,-(E2-F2))</f>
        <v/>
      </c>
      <c r="J2" s="2">
        <f>FV(G2,H2,-I2)</f>
        <v/>
      </c>
      <c r="K2" s="2">
        <f>PV(G2,H2,-I2)</f>
        <v/>
      </c>
      <c r="L2" s="3">
        <f>RATE(H2,-I2,(E2-F2))</f>
        <v/>
      </c>
      <c r="M2">
        <f>NPER(G2,-500,(E2-F2))</f>
        <v/>
      </c>
      <c r="N2" t="inlineStr">
        <is>
          <t>Pago</t>
        </is>
      </c>
      <c r="O2">
        <f>IF(I2&lt;200,"Baixa",IF(I2&lt;=400,"Média","Alta"))</f>
        <v/>
      </c>
    </row>
    <row r="3">
      <c r="A3" t="n">
        <v>2</v>
      </c>
      <c r="B3" t="inlineStr">
        <is>
          <t>Mariana</t>
        </is>
      </c>
      <c r="C3" t="inlineStr">
        <is>
          <t>Celular</t>
        </is>
      </c>
      <c r="D3" t="inlineStr">
        <is>
          <t>São Paulo</t>
        </is>
      </c>
      <c r="E3" s="2" t="n">
        <v>3200</v>
      </c>
      <c r="F3" s="2" t="n">
        <v>300</v>
      </c>
      <c r="G3" s="3" t="n">
        <v>0.021</v>
      </c>
      <c r="H3" t="n">
        <v>18</v>
      </c>
      <c r="I3" s="2">
        <f>PMT(G3,H3,-(E3-F3))</f>
        <v/>
      </c>
      <c r="J3" s="2">
        <f>FV(G3,H3,-I3)</f>
        <v/>
      </c>
      <c r="K3" s="2">
        <f>PV(G3,H3,-I3)</f>
        <v/>
      </c>
      <c r="L3" s="3">
        <f>RATE(H3,-I3,(E3-F3))</f>
        <v/>
      </c>
      <c r="M3">
        <f>NPER(G3,-500,(E3-F3))</f>
        <v/>
      </c>
      <c r="N3" t="inlineStr">
        <is>
          <t>Em Aberto</t>
        </is>
      </c>
      <c r="O3">
        <f>IF(I3&lt;200,"Baixa",IF(I3&lt;=400,"Média","Alta"))</f>
        <v/>
      </c>
    </row>
    <row r="4">
      <c r="A4" t="n">
        <v>3</v>
      </c>
      <c r="B4" t="inlineStr">
        <is>
          <t>Lucas</t>
        </is>
      </c>
      <c r="C4" t="inlineStr">
        <is>
          <t>Tablet</t>
        </is>
      </c>
      <c r="D4" t="inlineStr">
        <is>
          <t>Campinas</t>
        </is>
      </c>
      <c r="E4" s="2" t="n">
        <v>2800</v>
      </c>
      <c r="F4" s="2" t="n">
        <v>200</v>
      </c>
      <c r="G4" s="3" t="n">
        <v>0.015</v>
      </c>
      <c r="H4" t="n">
        <v>12</v>
      </c>
      <c r="I4" s="2">
        <f>PMT(G4,H4,-(E4-F4))</f>
        <v/>
      </c>
      <c r="J4" s="2">
        <f>FV(G4,H4,-I4)</f>
        <v/>
      </c>
      <c r="K4" s="2">
        <f>PV(G4,H4,-I4)</f>
        <v/>
      </c>
      <c r="L4" s="3">
        <f>RATE(H4,-I4,(E4-F4))</f>
        <v/>
      </c>
      <c r="M4">
        <f>NPER(G4,-500,(E4-F4))</f>
        <v/>
      </c>
      <c r="N4" t="inlineStr">
        <is>
          <t>Pago</t>
        </is>
      </c>
      <c r="O4">
        <f>IF(I4&lt;200,"Baixa",IF(I4&lt;=400,"Média","Alta"))</f>
        <v/>
      </c>
    </row>
    <row r="5">
      <c r="A5" t="n">
        <v>4</v>
      </c>
      <c r="B5" t="inlineStr">
        <is>
          <t>Fernanda</t>
        </is>
      </c>
      <c r="C5" t="inlineStr">
        <is>
          <t>Notebook</t>
        </is>
      </c>
      <c r="D5" t="inlineStr">
        <is>
          <t>Valinhos</t>
        </is>
      </c>
      <c r="E5" s="2" t="n">
        <v>6200</v>
      </c>
      <c r="F5" s="2" t="n">
        <v>1200</v>
      </c>
      <c r="G5" s="3" t="n">
        <v>0.019</v>
      </c>
      <c r="H5" t="n">
        <v>36</v>
      </c>
      <c r="I5" s="2">
        <f>PMT(G5,H5,-(E5-F5))</f>
        <v/>
      </c>
      <c r="J5" s="2">
        <f>FV(G5,H5,-I5)</f>
        <v/>
      </c>
      <c r="K5" s="2">
        <f>PV(G5,H5,-I5)</f>
        <v/>
      </c>
      <c r="L5" s="3">
        <f>RATE(H5,-I5,(E5-F5))</f>
        <v/>
      </c>
      <c r="M5">
        <f>NPER(G5,-500,(E5-F5))</f>
        <v/>
      </c>
      <c r="N5" t="inlineStr">
        <is>
          <t>Em Aberto</t>
        </is>
      </c>
      <c r="O5">
        <f>IF(I5&lt;200,"Baixa",IF(I5&lt;=400,"Média","Alta"))</f>
        <v/>
      </c>
    </row>
    <row r="6">
      <c r="A6" t="n">
        <v>5</v>
      </c>
      <c r="B6" t="inlineStr">
        <is>
          <t>João</t>
        </is>
      </c>
      <c r="C6" t="inlineStr">
        <is>
          <t>Celular</t>
        </is>
      </c>
      <c r="D6" t="inlineStr">
        <is>
          <t>Campinas</t>
        </is>
      </c>
      <c r="E6" s="2" t="n">
        <v>2100</v>
      </c>
      <c r="F6" s="2" t="n">
        <v>100</v>
      </c>
      <c r="G6" s="3" t="n">
        <v>0.025</v>
      </c>
      <c r="H6" t="n">
        <v>10</v>
      </c>
      <c r="I6" s="2">
        <f>PMT(G6,H6,-(E6-F6))</f>
        <v/>
      </c>
      <c r="J6" s="2">
        <f>FV(G6,H6,-I6)</f>
        <v/>
      </c>
      <c r="K6" s="2">
        <f>PV(G6,H6,-I6)</f>
        <v/>
      </c>
      <c r="L6" s="3">
        <f>RATE(H6,-I6,(E6-F6))</f>
        <v/>
      </c>
      <c r="M6">
        <f>NPER(G6,-500,(E6-F6))</f>
        <v/>
      </c>
      <c r="N6" t="inlineStr">
        <is>
          <t>Atrasado</t>
        </is>
      </c>
      <c r="O6">
        <f>IF(I6&lt;200,"Baixa",IF(I6&lt;=400,"Média","Alta"))</f>
        <v/>
      </c>
    </row>
    <row r="7">
      <c r="A7" t="n">
        <v>6</v>
      </c>
      <c r="B7" t="inlineStr">
        <is>
          <t>Ana</t>
        </is>
      </c>
      <c r="C7" t="inlineStr">
        <is>
          <t>Tablet</t>
        </is>
      </c>
      <c r="D7" t="inlineStr">
        <is>
          <t>Hortolândia</t>
        </is>
      </c>
      <c r="E7" s="2" t="n">
        <v>3900</v>
      </c>
      <c r="F7" s="2" t="n">
        <v>500</v>
      </c>
      <c r="G7" s="3" t="n">
        <v>0.017</v>
      </c>
      <c r="H7" t="n">
        <v>20</v>
      </c>
      <c r="I7" s="2">
        <f>PMT(G7,H7,-(E7-F7))</f>
        <v/>
      </c>
      <c r="J7" s="2">
        <f>FV(G7,H7,-I7)</f>
        <v/>
      </c>
      <c r="K7" s="2">
        <f>PV(G7,H7,-I7)</f>
        <v/>
      </c>
      <c r="L7" s="3">
        <f>RATE(H7,-I7,(E7-F7))</f>
        <v/>
      </c>
      <c r="M7">
        <f>NPER(G7,-500,(E7-F7))</f>
        <v/>
      </c>
      <c r="N7" t="inlineStr">
        <is>
          <t>Pago</t>
        </is>
      </c>
      <c r="O7">
        <f>IF(I7&lt;200,"Baixa",IF(I7&lt;=400,"Média","Alta"))</f>
        <v/>
      </c>
    </row>
    <row r="8">
      <c r="A8" t="n">
        <v>7</v>
      </c>
      <c r="B8" t="inlineStr">
        <is>
          <t>Ricardo</t>
        </is>
      </c>
      <c r="C8" t="inlineStr">
        <is>
          <t>Notebook</t>
        </is>
      </c>
      <c r="D8" t="inlineStr">
        <is>
          <t>Campinas</t>
        </is>
      </c>
      <c r="E8" s="2" t="n">
        <v>7200</v>
      </c>
      <c r="F8" s="2" t="n">
        <v>2000</v>
      </c>
      <c r="G8" s="3" t="n">
        <v>0.014</v>
      </c>
      <c r="H8" t="n">
        <v>48</v>
      </c>
      <c r="I8" s="2">
        <f>PMT(G8,H8,-(E8-F8))</f>
        <v/>
      </c>
      <c r="J8" s="2">
        <f>FV(G8,H8,-I8)</f>
        <v/>
      </c>
      <c r="K8" s="2">
        <f>PV(G8,H8,-I8)</f>
        <v/>
      </c>
      <c r="L8" s="3">
        <f>RATE(H8,-I8,(E8-F8))</f>
        <v/>
      </c>
      <c r="M8">
        <f>NPER(G8,-500,(E8-F8))</f>
        <v/>
      </c>
      <c r="N8" t="inlineStr">
        <is>
          <t>Em Aberto</t>
        </is>
      </c>
      <c r="O8">
        <f>IF(I8&lt;200,"Baixa",IF(I8&lt;=400,"Média","Alta"))</f>
        <v/>
      </c>
    </row>
    <row r="9">
      <c r="A9" t="n">
        <v>8</v>
      </c>
      <c r="B9" t="inlineStr">
        <is>
          <t>Patricia</t>
        </is>
      </c>
      <c r="C9" t="inlineStr">
        <is>
          <t>Celular</t>
        </is>
      </c>
      <c r="D9" t="inlineStr">
        <is>
          <t>Sumaré</t>
        </is>
      </c>
      <c r="E9" s="2" t="n">
        <v>1800</v>
      </c>
      <c r="F9" s="2" t="n">
        <v>100</v>
      </c>
      <c r="G9" s="3" t="n">
        <v>0.028</v>
      </c>
      <c r="H9" t="n">
        <v>8</v>
      </c>
      <c r="I9" s="2">
        <f>PMT(G9,H9,-(E9-F9))</f>
        <v/>
      </c>
      <c r="J9" s="2">
        <f>FV(G9,H9,-I9)</f>
        <v/>
      </c>
      <c r="K9" s="2">
        <f>PV(G9,H9,-I9)</f>
        <v/>
      </c>
      <c r="L9" s="3">
        <f>RATE(H9,-I9,(E9-F9))</f>
        <v/>
      </c>
      <c r="M9">
        <f>NPER(G9,-500,(E9-F9))</f>
        <v/>
      </c>
      <c r="N9" t="inlineStr">
        <is>
          <t>Pago</t>
        </is>
      </c>
      <c r="O9">
        <f>IF(I9&lt;200,"Baixa",IF(I9&lt;=400,"Média","Alta"))</f>
        <v/>
      </c>
    </row>
    <row r="10">
      <c r="A10" t="n">
        <v>9</v>
      </c>
      <c r="B10" t="inlineStr">
        <is>
          <t>Felipe</t>
        </is>
      </c>
      <c r="C10" t="inlineStr">
        <is>
          <t>Tablet</t>
        </is>
      </c>
      <c r="D10" t="inlineStr">
        <is>
          <t>Campinas</t>
        </is>
      </c>
      <c r="E10" s="2" t="n">
        <v>2500</v>
      </c>
      <c r="F10" s="2" t="n">
        <v>200</v>
      </c>
      <c r="G10" s="3" t="n">
        <v>0.016</v>
      </c>
      <c r="H10" t="n">
        <v>15</v>
      </c>
      <c r="I10" s="2">
        <f>PMT(G10,H10,-(E10-F10))</f>
        <v/>
      </c>
      <c r="J10" s="2">
        <f>FV(G10,H10,-I10)</f>
        <v/>
      </c>
      <c r="K10" s="2">
        <f>PV(G10,H10,-I10)</f>
        <v/>
      </c>
      <c r="L10" s="3">
        <f>RATE(H10,-I10,(E10-F10))</f>
        <v/>
      </c>
      <c r="M10">
        <f>NPER(G10,-500,(E10-F10))</f>
        <v/>
      </c>
      <c r="N10" t="inlineStr">
        <is>
          <t>Em Aberto</t>
        </is>
      </c>
      <c r="O10">
        <f>IF(I10&lt;200,"Baixa",IF(I10&lt;=400,"Média","Alta"))</f>
        <v/>
      </c>
    </row>
    <row r="11">
      <c r="A11" t="n">
        <v>10</v>
      </c>
      <c r="B11" t="inlineStr">
        <is>
          <t>Juliana</t>
        </is>
      </c>
      <c r="C11" t="inlineStr">
        <is>
          <t>Notebook</t>
        </is>
      </c>
      <c r="D11" t="inlineStr">
        <is>
          <t>Americana</t>
        </is>
      </c>
      <c r="E11" s="2" t="n">
        <v>8400</v>
      </c>
      <c r="F11" s="2" t="n">
        <v>2500</v>
      </c>
      <c r="G11" s="3" t="n">
        <v>0.013</v>
      </c>
      <c r="H11" t="n">
        <v>60</v>
      </c>
      <c r="I11" s="2">
        <f>PMT(G11,H11,-(E11-F11))</f>
        <v/>
      </c>
      <c r="J11" s="2">
        <f>FV(G11,H11,-I11)</f>
        <v/>
      </c>
      <c r="K11" s="2">
        <f>PV(G11,H11,-I11)</f>
        <v/>
      </c>
      <c r="L11" s="3">
        <f>RATE(H11,-I11,(E11-F11))</f>
        <v/>
      </c>
      <c r="M11">
        <f>NPER(G11,-500,(E11-F11))</f>
        <v/>
      </c>
      <c r="N11" t="inlineStr">
        <is>
          <t>Pago</t>
        </is>
      </c>
      <c r="O11">
        <f>IF(I11&lt;200,"Baixa",IF(I11&lt;=400,"Média","Alta"))</f>
        <v/>
      </c>
    </row>
    <row r="12">
      <c r="A12" t="n">
        <v>11</v>
      </c>
      <c r="B12" t="inlineStr">
        <is>
          <t>Rafael</t>
        </is>
      </c>
      <c r="C12" t="inlineStr">
        <is>
          <t>Celular</t>
        </is>
      </c>
      <c r="D12" t="inlineStr">
        <is>
          <t>Campinas</t>
        </is>
      </c>
      <c r="E12" s="2" t="n">
        <v>3100</v>
      </c>
      <c r="F12" s="2" t="n">
        <v>300</v>
      </c>
      <c r="G12" s="3" t="n">
        <v>0.022</v>
      </c>
      <c r="H12" t="n">
        <v>24</v>
      </c>
      <c r="I12" s="2">
        <f>PMT(G12,H12,-(E12-F12))</f>
        <v/>
      </c>
      <c r="J12" s="2">
        <f>FV(G12,H12,-I12)</f>
        <v/>
      </c>
      <c r="K12" s="2">
        <f>PV(G12,H12,-I12)</f>
        <v/>
      </c>
      <c r="L12" s="3">
        <f>RATE(H12,-I12,(E12-F12))</f>
        <v/>
      </c>
      <c r="M12">
        <f>NPER(G12,-500,(E12-F12))</f>
        <v/>
      </c>
      <c r="N12" t="inlineStr">
        <is>
          <t>Atrasado</t>
        </is>
      </c>
      <c r="O12">
        <f>IF(I12&lt;200,"Baixa",IF(I12&lt;=400,"Média","Alta"))</f>
        <v/>
      </c>
    </row>
    <row r="13">
      <c r="A13" t="n">
        <v>12</v>
      </c>
      <c r="B13" t="inlineStr">
        <is>
          <t>Bianca</t>
        </is>
      </c>
      <c r="C13" t="inlineStr">
        <is>
          <t>Tablet</t>
        </is>
      </c>
      <c r="D13" t="inlineStr">
        <is>
          <t>Paulínia</t>
        </is>
      </c>
      <c r="E13" s="2" t="n">
        <v>4300</v>
      </c>
      <c r="F13" s="2" t="n">
        <v>700</v>
      </c>
      <c r="G13" s="3" t="n">
        <v>0.018</v>
      </c>
      <c r="H13" t="n">
        <v>30</v>
      </c>
      <c r="I13" s="2">
        <f>PMT(G13,H13,-(E13-F13))</f>
        <v/>
      </c>
      <c r="J13" s="2">
        <f>FV(G13,H13,-I13)</f>
        <v/>
      </c>
      <c r="K13" s="2">
        <f>PV(G13,H13,-I13)</f>
        <v/>
      </c>
      <c r="L13" s="3">
        <f>RATE(H13,-I13,(E13-F13))</f>
        <v/>
      </c>
      <c r="M13">
        <f>NPER(G13,-500,(E13-F13))</f>
        <v/>
      </c>
      <c r="N13" t="inlineStr">
        <is>
          <t>Pago</t>
        </is>
      </c>
      <c r="O13">
        <f>IF(I13&lt;200,"Baixa",IF(I13&lt;=400,"Média","Alta"))</f>
        <v/>
      </c>
    </row>
    <row r="14">
      <c r="A14" t="n">
        <v>13</v>
      </c>
      <c r="B14" t="inlineStr">
        <is>
          <t>Gustavo</t>
        </is>
      </c>
      <c r="C14" t="inlineStr">
        <is>
          <t>Notebook</t>
        </is>
      </c>
      <c r="D14" t="inlineStr">
        <is>
          <t>Campinas</t>
        </is>
      </c>
      <c r="E14" s="2" t="n">
        <v>9100</v>
      </c>
      <c r="F14" s="2" t="n">
        <v>3000</v>
      </c>
      <c r="G14" s="3" t="n">
        <v>0.015</v>
      </c>
      <c r="H14" t="n">
        <v>72</v>
      </c>
      <c r="I14" s="2">
        <f>PMT(G14,H14,-(E14-F14))</f>
        <v/>
      </c>
      <c r="J14" s="2">
        <f>FV(G14,H14,-I14)</f>
        <v/>
      </c>
      <c r="K14" s="2">
        <f>PV(G14,H14,-I14)</f>
        <v/>
      </c>
      <c r="L14" s="3">
        <f>RATE(H14,-I14,(E14-F14))</f>
        <v/>
      </c>
      <c r="M14">
        <f>NPER(G14,-500,(E14-F14))</f>
        <v/>
      </c>
      <c r="N14" t="inlineStr">
        <is>
          <t>Em Aberto</t>
        </is>
      </c>
      <c r="O14">
        <f>IF(I14&lt;200,"Baixa",IF(I14&lt;=400,"Média","Alta"))</f>
        <v/>
      </c>
    </row>
    <row r="15">
      <c r="A15" t="n">
        <v>14</v>
      </c>
      <c r="B15" t="inlineStr">
        <is>
          <t>Camila</t>
        </is>
      </c>
      <c r="C15" t="inlineStr">
        <is>
          <t>Celular</t>
        </is>
      </c>
      <c r="D15" t="inlineStr">
        <is>
          <t>Vinhedo</t>
        </is>
      </c>
      <c r="E15" s="2" t="n">
        <v>2700</v>
      </c>
      <c r="F15" s="2" t="n">
        <v>400</v>
      </c>
      <c r="G15" s="3" t="n">
        <v>0.02</v>
      </c>
      <c r="H15" t="n">
        <v>14</v>
      </c>
      <c r="I15" s="2">
        <f>PMT(G15,H15,-(E15-F15))</f>
        <v/>
      </c>
      <c r="J15" s="2">
        <f>FV(G15,H15,-I15)</f>
        <v/>
      </c>
      <c r="K15" s="2">
        <f>PV(G15,H15,-I15)</f>
        <v/>
      </c>
      <c r="L15" s="3">
        <f>RATE(H15,-I15,(E15-F15))</f>
        <v/>
      </c>
      <c r="M15">
        <f>NPER(G15,-500,(E15-F15))</f>
        <v/>
      </c>
      <c r="N15" t="inlineStr">
        <is>
          <t>Pago</t>
        </is>
      </c>
      <c r="O15">
        <f>IF(I15&lt;200,"Baixa",IF(I15&lt;=400,"Média","Alta"))</f>
        <v/>
      </c>
    </row>
    <row r="16">
      <c r="A16" t="n">
        <v>15</v>
      </c>
      <c r="B16" t="inlineStr">
        <is>
          <t>Eduardo</t>
        </is>
      </c>
      <c r="C16" t="inlineStr">
        <is>
          <t>Tablet</t>
        </is>
      </c>
      <c r="D16" t="inlineStr">
        <is>
          <t>Campinas</t>
        </is>
      </c>
      <c r="E16" s="2" t="n">
        <v>3600</v>
      </c>
      <c r="F16" s="2" t="n">
        <v>600</v>
      </c>
      <c r="G16" s="3" t="n">
        <v>0.019</v>
      </c>
      <c r="H16" t="n">
        <v>18</v>
      </c>
      <c r="I16" s="2">
        <f>PMT(G16,H16,-(E16-F16))</f>
        <v/>
      </c>
      <c r="J16" s="2">
        <f>FV(G16,H16,-I16)</f>
        <v/>
      </c>
      <c r="K16" s="2">
        <f>PV(G16,H16,-I16)</f>
        <v/>
      </c>
      <c r="L16" s="3">
        <f>RATE(H16,-I16,(E16-F16))</f>
        <v/>
      </c>
      <c r="M16">
        <f>NPER(G16,-500,(E16-F16))</f>
        <v/>
      </c>
      <c r="N16" t="inlineStr">
        <is>
          <t>Em Aberto</t>
        </is>
      </c>
      <c r="O16">
        <f>IF(I16&lt;200,"Baixa",IF(I16&lt;=400,"Média","Alta"))</f>
        <v/>
      </c>
    </row>
  </sheetData>
  <conditionalFormatting sqref="E2:E16">
    <cfRule type="cellIs" priority="1" operator="greaterThan" dxfId="0">
      <formula>7000</formula>
    </cfRule>
  </conditionalFormatting>
  <conditionalFormatting sqref="N2:N16">
    <cfRule type="expression" priority="2" dxfId="1">
      <formula>N2="Atrasado"</formula>
    </cfRule>
  </conditionalFormatting>
  <conditionalFormatting sqref="H2:H16">
    <cfRule type="cellIs" priority="3" operator="greaterThan" dxfId="2">
      <formula>48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Dashboard Financeiro</t>
        </is>
      </c>
    </row>
    <row r="3">
      <c r="A3" s="5" t="inlineStr">
        <is>
          <t>Total Financiado</t>
        </is>
      </c>
      <c r="B3" s="2">
        <f>SUM(Financiamentos!E2:E16)</f>
        <v/>
      </c>
    </row>
    <row r="4">
      <c r="A4" s="5" t="inlineStr">
        <is>
          <t>Quantidade de Clientes</t>
        </is>
      </c>
      <c r="B4" s="6">
        <f>COUNTA(Financiamentos!B2:B16)</f>
        <v/>
      </c>
    </row>
    <row r="5">
      <c r="A5" s="5" t="inlineStr">
        <is>
          <t>Média Geral</t>
        </is>
      </c>
      <c r="B5" s="2">
        <f>AVERAGE(Financiamentos!E2:E16)</f>
        <v/>
      </c>
    </row>
    <row r="6">
      <c r="A6" s="5" t="inlineStr">
        <is>
          <t>Quantidade Atrasados</t>
        </is>
      </c>
      <c r="B6" s="6">
        <f>COUNTIF(Financiamentos!N2:N16,"Atrasado")</f>
        <v/>
      </c>
    </row>
    <row r="7">
      <c r="A7" s="5" t="inlineStr">
        <is>
          <t>Maior Financiamento</t>
        </is>
      </c>
      <c r="B7" s="2">
        <f>MAX(Financiamentos!E2:E16)</f>
        <v/>
      </c>
    </row>
    <row r="8">
      <c r="A8" s="5" t="inlineStr">
        <is>
          <t>Menor Financiamento</t>
        </is>
      </c>
      <c r="B8" s="2">
        <f>MIN(Financiamentos!E2:E16)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2026-05-22T19:37:02Z</dcterms:created>
  <dcterms:modified xmlns:dcterms="http://purl.org/dc/terms/" xmlns:xsi="http://www.w3.org/2001/XMLSchema-instance" xsi:type="dcterms:W3CDTF">2026-05-22T19:37:02Z</dcterms:modified>
</cp:coreProperties>
</file>