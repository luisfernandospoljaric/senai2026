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Prof. Luis\Documents\GitHub\senai2026\excelAvancado\aula07\"/>
    </mc:Choice>
  </mc:AlternateContent>
  <xr:revisionPtr revIDLastSave="0" documentId="13_ncr:1_{FD8C8448-33A3-4F18-ADF1-0FD75685CC4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Base_Dados_Texto" sheetId="1" r:id="rId1"/>
    <sheet name="Planilha1" sheetId="3" r:id="rId2"/>
    <sheet name="Exercicios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" i="1" l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B1" i="3"/>
  <c r="P2" i="1"/>
  <c r="I2" i="1"/>
  <c r="H2" i="1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O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</calcChain>
</file>

<file path=xl/sharedStrings.xml><?xml version="1.0" encoding="utf-8"?>
<sst xmlns="http://schemas.openxmlformats.org/spreadsheetml/2006/main" count="725" uniqueCount="265">
  <si>
    <t>Codigo</t>
  </si>
  <si>
    <t>Nome Completo</t>
  </si>
  <si>
    <t>Telefone</t>
  </si>
  <si>
    <t>Email</t>
  </si>
  <si>
    <t>Departamento</t>
  </si>
  <si>
    <t>Cidade</t>
  </si>
  <si>
    <t>Texto com Espaços</t>
  </si>
  <si>
    <t>FUNC-2025-1782</t>
  </si>
  <si>
    <t>Carlos Oliveira</t>
  </si>
  <si>
    <t>19913266455</t>
  </si>
  <si>
    <t>carlos.oliveira@empresa.com</t>
  </si>
  <si>
    <t>Marketing</t>
  </si>
  <si>
    <t>Americana</t>
  </si>
  <si>
    <t xml:space="preserve">   Carlos     Oliveira   </t>
  </si>
  <si>
    <t>FUNC-2022-7144</t>
  </si>
  <si>
    <t>Roberto Araujo</t>
  </si>
  <si>
    <t>19950285933</t>
  </si>
  <si>
    <t>roberto.araujo@empresa.com</t>
  </si>
  <si>
    <t>RH</t>
  </si>
  <si>
    <t>Hortolândia</t>
  </si>
  <si>
    <t xml:space="preserve">   Roberto     Araujo   </t>
  </si>
  <si>
    <t>FUNC-2023-6778</t>
  </si>
  <si>
    <t>Ana Silva</t>
  </si>
  <si>
    <t>19922698008</t>
  </si>
  <si>
    <t>ana.silva@empresa.com</t>
  </si>
  <si>
    <t>TI</t>
  </si>
  <si>
    <t>Sumaré</t>
  </si>
  <si>
    <t xml:space="preserve">   Ana     Silva   </t>
  </si>
  <si>
    <t>FUNC-2024-1503</t>
  </si>
  <si>
    <t>Ricardo Santos</t>
  </si>
  <si>
    <t>19921077416</t>
  </si>
  <si>
    <t>ricardo.santos@empresa.com</t>
  </si>
  <si>
    <t xml:space="preserve">   Ricardo     Santos   </t>
  </si>
  <si>
    <t>FUNC-2024-6481</t>
  </si>
  <si>
    <t>19926862384</t>
  </si>
  <si>
    <t>Paulínia</t>
  </si>
  <si>
    <t>FUNC-2024-2742</t>
  </si>
  <si>
    <t>Lucas Costa</t>
  </si>
  <si>
    <t>19964502979</t>
  </si>
  <si>
    <t>lucas.costa@empresa.com</t>
  </si>
  <si>
    <t xml:space="preserve">   Lucas     Costa   </t>
  </si>
  <si>
    <t>FUNC-2021-9656</t>
  </si>
  <si>
    <t>Julia Ferreira</t>
  </si>
  <si>
    <t>19942762910</t>
  </si>
  <si>
    <t>julia.ferreira@empresa.com</t>
  </si>
  <si>
    <t xml:space="preserve">   Julia     Ferreira   </t>
  </si>
  <si>
    <t>FUNC-2025-1840</t>
  </si>
  <si>
    <t>19942151630</t>
  </si>
  <si>
    <t>Financeiro</t>
  </si>
  <si>
    <t>FUNC-2021-5971</t>
  </si>
  <si>
    <t>19908338481</t>
  </si>
  <si>
    <t>FUNC-2022-3665</t>
  </si>
  <si>
    <t>19924533900</t>
  </si>
  <si>
    <t>FUNC-2022-3368</t>
  </si>
  <si>
    <t>19938989967</t>
  </si>
  <si>
    <t>FUNC-2021-1628</t>
  </si>
  <si>
    <t>19949139702</t>
  </si>
  <si>
    <t>FUNC-2023-8284</t>
  </si>
  <si>
    <t>19972177198</t>
  </si>
  <si>
    <t>Campinas</t>
  </si>
  <si>
    <t>FUNC-2023-3274</t>
  </si>
  <si>
    <t>19975490439</t>
  </si>
  <si>
    <t>FUNC-2021-7958</t>
  </si>
  <si>
    <t>19927433837</t>
  </si>
  <si>
    <t>FUNC-2025-2687</t>
  </si>
  <si>
    <t>Mariana Souza</t>
  </si>
  <si>
    <t>19976084282</t>
  </si>
  <si>
    <t>mariana.souza@empresa.com</t>
  </si>
  <si>
    <t xml:space="preserve">   Mariana     Souza   </t>
  </si>
  <si>
    <t>FUNC-2025-1042</t>
  </si>
  <si>
    <t>19997459540</t>
  </si>
  <si>
    <t>FUNC-2026-3110</t>
  </si>
  <si>
    <t>19995236448</t>
  </si>
  <si>
    <t>Vendas</t>
  </si>
  <si>
    <t>FUNC-2026-9116</t>
  </si>
  <si>
    <t>19953713734</t>
  </si>
  <si>
    <t>FUNC-2021-2892</t>
  </si>
  <si>
    <t>19913395669</t>
  </si>
  <si>
    <t>FUNC-2022-5933</t>
  </si>
  <si>
    <t>19981143413</t>
  </si>
  <si>
    <t>FUNC-2022-9716</t>
  </si>
  <si>
    <t>Pedro Lima</t>
  </si>
  <si>
    <t>19990642061</t>
  </si>
  <si>
    <t>pedro.lima@empresa.com</t>
  </si>
  <si>
    <t xml:space="preserve">   Pedro     Lima   </t>
  </si>
  <si>
    <t>FUNC-2024-4966</t>
  </si>
  <si>
    <t>19983542845</t>
  </si>
  <si>
    <t>FUNC-2023-9660</t>
  </si>
  <si>
    <t>19911995777</t>
  </si>
  <si>
    <t>FUNC-2023-2945</t>
  </si>
  <si>
    <t>Patricia Mendes</t>
  </si>
  <si>
    <t>19975452769</t>
  </si>
  <si>
    <t>patricia.mendes@empresa.com</t>
  </si>
  <si>
    <t xml:space="preserve">   Patricia     Mendes   </t>
  </si>
  <si>
    <t>FUNC-2021-9189</t>
  </si>
  <si>
    <t>19923972547</t>
  </si>
  <si>
    <t>FUNC-2022-3243</t>
  </si>
  <si>
    <t>19972166354</t>
  </si>
  <si>
    <t>FUNC-2022-2014</t>
  </si>
  <si>
    <t>19961196279</t>
  </si>
  <si>
    <t>FUNC-2021-3870</t>
  </si>
  <si>
    <t>19977362284</t>
  </si>
  <si>
    <t>FUNC-2024-8962</t>
  </si>
  <si>
    <t>19930169685</t>
  </si>
  <si>
    <t>FUNC-2022-2763</t>
  </si>
  <si>
    <t>19949861295</t>
  </si>
  <si>
    <t>FUNC-2024-3388</t>
  </si>
  <si>
    <t>19948190070</t>
  </si>
  <si>
    <t>FUNC-2024-1237</t>
  </si>
  <si>
    <t>Fernanda Almeida</t>
  </si>
  <si>
    <t>19946947849</t>
  </si>
  <si>
    <t>fernanda.almeida@empresa.com</t>
  </si>
  <si>
    <t xml:space="preserve">   Fernanda     Almeida   </t>
  </si>
  <si>
    <t>FUNC-2021-8149</t>
  </si>
  <si>
    <t>19984428791</t>
  </si>
  <si>
    <t>FUNC-2026-4645</t>
  </si>
  <si>
    <t>19914869562</t>
  </si>
  <si>
    <t>FUNC-2023-1696</t>
  </si>
  <si>
    <t>19902685533</t>
  </si>
  <si>
    <t>FUNC-2023-9981</t>
  </si>
  <si>
    <t>19914823080</t>
  </si>
  <si>
    <t>FUNC-2022-2542</t>
  </si>
  <si>
    <t>19911824547</t>
  </si>
  <si>
    <t>FUNC-2021-6481</t>
  </si>
  <si>
    <t>19949503356</t>
  </si>
  <si>
    <t>FUNC-2021-4389</t>
  </si>
  <si>
    <t>19951609509</t>
  </si>
  <si>
    <t>FUNC-2024-4180</t>
  </si>
  <si>
    <t>19992533752</t>
  </si>
  <si>
    <t>FUNC-2021-3944</t>
  </si>
  <si>
    <t>19950920005</t>
  </si>
  <si>
    <t>FUNC-2024-4701</t>
  </si>
  <si>
    <t>19927137699</t>
  </si>
  <si>
    <t>FUNC-2026-4644</t>
  </si>
  <si>
    <t>19915994211</t>
  </si>
  <si>
    <t>FUNC-2026-6445</t>
  </si>
  <si>
    <t>19912064026</t>
  </si>
  <si>
    <t>FUNC-2023-2857</t>
  </si>
  <si>
    <t>19908672841</t>
  </si>
  <si>
    <t>FUNC-2025-8234</t>
  </si>
  <si>
    <t>19954859151</t>
  </si>
  <si>
    <t>FUNC-2024-8634</t>
  </si>
  <si>
    <t>19934563779</t>
  </si>
  <si>
    <t>FUNC-2023-4966</t>
  </si>
  <si>
    <t>19911953430</t>
  </si>
  <si>
    <t>FUNC-2026-6483</t>
  </si>
  <si>
    <t>19969136494</t>
  </si>
  <si>
    <t>FUNC-2025-6881</t>
  </si>
  <si>
    <t>19996375024</t>
  </si>
  <si>
    <t>FUNC-2021-3366</t>
  </si>
  <si>
    <t>19995941687</t>
  </si>
  <si>
    <t>FUNC-2022-4667</t>
  </si>
  <si>
    <t>19951950312</t>
  </si>
  <si>
    <t>FUNC-2023-1814</t>
  </si>
  <si>
    <t>19990924095</t>
  </si>
  <si>
    <t>FUNC-2025-7254</t>
  </si>
  <si>
    <t>19978666215</t>
  </si>
  <si>
    <t>FUNC-2024-6504</t>
  </si>
  <si>
    <t>19948288631</t>
  </si>
  <si>
    <t>FUNC-2021-4206</t>
  </si>
  <si>
    <t>19912439880</t>
  </si>
  <si>
    <t>FUNC-2026-8272</t>
  </si>
  <si>
    <t>19948997314</t>
  </si>
  <si>
    <t>FUNC-2021-1091</t>
  </si>
  <si>
    <t>19939339531</t>
  </si>
  <si>
    <t>FUNC-2026-9097</t>
  </si>
  <si>
    <t>19996334027</t>
  </si>
  <si>
    <t>FUNC-2024-3257</t>
  </si>
  <si>
    <t>19984775631</t>
  </si>
  <si>
    <t>FUNC-2024-4333</t>
  </si>
  <si>
    <t>19919915062</t>
  </si>
  <si>
    <t>FUNC-2026-9941</t>
  </si>
  <si>
    <t>19970771942</t>
  </si>
  <si>
    <t>FUNC-2025-9631</t>
  </si>
  <si>
    <t>19931061543</t>
  </si>
  <si>
    <t>FUNC-2021-2990</t>
  </si>
  <si>
    <t>19906913569</t>
  </si>
  <si>
    <t>FUNC-2025-3226</t>
  </si>
  <si>
    <t>19907989074</t>
  </si>
  <si>
    <t>FUNC-2024-8391</t>
  </si>
  <si>
    <t>19904397235</t>
  </si>
  <si>
    <t>FUNC-2024-4185</t>
  </si>
  <si>
    <t>19953721228</t>
  </si>
  <si>
    <t>FUNC-2026-6099</t>
  </si>
  <si>
    <t>19908756766</t>
  </si>
  <si>
    <t>FUNC-2024-3938</t>
  </si>
  <si>
    <t>19945564516</t>
  </si>
  <si>
    <t>FUNC-2024-7327</t>
  </si>
  <si>
    <t>19919271357</t>
  </si>
  <si>
    <t>FUNC-2022-9643</t>
  </si>
  <si>
    <t>19922848959</t>
  </si>
  <si>
    <t>FUNC-2023-1966</t>
  </si>
  <si>
    <t>19905307605</t>
  </si>
  <si>
    <t>FUNC-2024-9303</t>
  </si>
  <si>
    <t>19943765942</t>
  </si>
  <si>
    <t>FUNC-2021-3897</t>
  </si>
  <si>
    <t>19984169758</t>
  </si>
  <si>
    <t>FUNC-2024-8183</t>
  </si>
  <si>
    <t>19992767178</t>
  </si>
  <si>
    <t>FUNC-2024-1746</t>
  </si>
  <si>
    <t>19954103622</t>
  </si>
  <si>
    <t>FUNC-2021-7964</t>
  </si>
  <si>
    <t>19912877094</t>
  </si>
  <si>
    <t>FUNC-2025-1727</t>
  </si>
  <si>
    <t>19911507250</t>
  </si>
  <si>
    <t>FUNC-2026-2011</t>
  </si>
  <si>
    <t>19905116799</t>
  </si>
  <si>
    <t>FUNC-2024-2210</t>
  </si>
  <si>
    <t>19971921956</t>
  </si>
  <si>
    <t>FUNC-2022-4369</t>
  </si>
  <si>
    <t>19913618569</t>
  </si>
  <si>
    <t>FUNC-2024-9880</t>
  </si>
  <si>
    <t>19970257120</t>
  </si>
  <si>
    <t>FUNC-2023-1598</t>
  </si>
  <si>
    <t>19929820717</t>
  </si>
  <si>
    <t>FUNC-2023-2783</t>
  </si>
  <si>
    <t>19983768574</t>
  </si>
  <si>
    <t>FUNC-2023-3026</t>
  </si>
  <si>
    <t>19996778737</t>
  </si>
  <si>
    <t>FUNC-2024-2083</t>
  </si>
  <si>
    <t>19931273069</t>
  </si>
  <si>
    <t>FUNC-2021-2284</t>
  </si>
  <si>
    <t>19994658098</t>
  </si>
  <si>
    <t>FUNC-2023-1378</t>
  </si>
  <si>
    <t>19978472863</t>
  </si>
  <si>
    <t>FUNC-2023-7256</t>
  </si>
  <si>
    <t>19982823742</t>
  </si>
  <si>
    <t>FUNC-2025-5156</t>
  </si>
  <si>
    <t>19904699138</t>
  </si>
  <si>
    <t>FUNC-2022-4854</t>
  </si>
  <si>
    <t>19989444131</t>
  </si>
  <si>
    <t>FUNC-2022-6448</t>
  </si>
  <si>
    <t>19955205461</t>
  </si>
  <si>
    <t>FUNC-2022-2642</t>
  </si>
  <si>
    <t>19969199935</t>
  </si>
  <si>
    <t>FUNC-2026-2506</t>
  </si>
  <si>
    <t>19942706101</t>
  </si>
  <si>
    <t>FUNC-2024-9716</t>
  </si>
  <si>
    <t>19955423230</t>
  </si>
  <si>
    <t>FUNC-2025-7966</t>
  </si>
  <si>
    <t>19965849285</t>
  </si>
  <si>
    <t>FUNC-2023-8270</t>
  </si>
  <si>
    <t>19904700031</t>
  </si>
  <si>
    <t>FUNC-2022-9914</t>
  </si>
  <si>
    <t>19906161843</t>
  </si>
  <si>
    <t>FUNC-2024-7052</t>
  </si>
  <si>
    <t>19900925085</t>
  </si>
  <si>
    <t>Exercícios — Funções de Texto</t>
  </si>
  <si>
    <t>1. Utilize ESQUERDA para extrair o prefixo do código FUNC.</t>
  </si>
  <si>
    <t>2. Utilize DIREITA para extrair os últimos 4 números do código.</t>
  </si>
  <si>
    <t>3. Utilize EXT.TEXTO para extrair o ano do código.</t>
  </si>
  <si>
    <t>4. Utilize CONCATENAR para juntar Nome Completo e Departamento.</t>
  </si>
  <si>
    <t>5. Utilize ARRUMAR para limpar a coluna 'Texto com Espaços'.</t>
  </si>
  <si>
    <t>6. Utilize SUBSTITUIR para trocar o DDD 19 por 11 nos telefones.</t>
  </si>
  <si>
    <t>7. Crie um e-mail personalizado utilizando CONCATENAR.</t>
  </si>
  <si>
    <t>8. Extraia apenas o primeiro nome utilizando ESQUERDA.</t>
  </si>
  <si>
    <t>9. Extraia apenas o sobrenome utilizando DIREITA.</t>
  </si>
  <si>
    <t>10. Crie um novo código trocando o ano do código para 2026 usando SUBSTITUIR.</t>
  </si>
  <si>
    <t>Esquerda</t>
  </si>
  <si>
    <t>ext.texto</t>
  </si>
  <si>
    <t>Concatenar</t>
  </si>
  <si>
    <t>Arrumar</t>
  </si>
  <si>
    <t>Substituir</t>
  </si>
  <si>
    <t>Direita</t>
  </si>
  <si>
    <t>Luís Fernando Spoljaric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</si>
</sst>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1"/>
  <sheetViews>
    <sheetView tabSelected="1" topLeftCell="H1" zoomScale="115" zoomScaleNormal="115" workbookViewId="0">
      <selection activeCell="Q2" sqref="Q2"/>
    </sheetView>
  </sheetViews>
  <sheetFormatPr defaultRowHeight="14.5" x14ac:dyDescent="0.35"/>
  <cols>
    <col min="1" max="1" width="14.7265625" bestFit="1" customWidth="1"/>
    <col min="2" max="2" width="16.08984375" bestFit="1" customWidth="1"/>
    <col min="3" max="3" width="11.81640625" bestFit="1" customWidth="1"/>
    <col min="4" max="4" width="29.26953125" bestFit="1" customWidth="1"/>
    <col min="5" max="5" width="13.26953125" bestFit="1" customWidth="1"/>
    <col min="6" max="6" width="10.7265625" bestFit="1" customWidth="1"/>
    <col min="7" max="7" width="20.7265625" bestFit="1" customWidth="1"/>
    <col min="11" max="11" width="26.36328125" bestFit="1" customWidth="1"/>
    <col min="12" max="12" width="16.08984375" bestFit="1" customWidth="1"/>
    <col min="13" max="13" width="11.81640625" bestFit="1" customWidth="1"/>
    <col min="14" max="14" width="31.36328125" bestFit="1" customWidth="1"/>
    <col min="17" max="17" width="14.7265625" bestFit="1" customWidth="1"/>
  </cols>
  <sheetData>
    <row r="1" spans="1:1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258</v>
      </c>
      <c r="I1" s="1" t="s">
        <v>263</v>
      </c>
      <c r="J1" s="1" t="s">
        <v>259</v>
      </c>
      <c r="K1" s="1" t="s">
        <v>260</v>
      </c>
      <c r="L1" s="1" t="s">
        <v>261</v>
      </c>
      <c r="M1" s="1" t="s">
        <v>262</v>
      </c>
    </row>
    <row r="2" spans="1:17" x14ac:dyDescent="0.3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tr">
        <f>LEFT(A2,4)</f>
        <v>FUNC</v>
      </c>
      <c r="I2" t="str">
        <f>RIGHT(A2,4)</f>
        <v>1782</v>
      </c>
      <c r="J2" t="str">
        <f>MID(A2,6,4)</f>
        <v>2025</v>
      </c>
      <c r="K2" t="str">
        <f>CONCATENATE(B2," - ",E2)</f>
        <v>Carlos Oliveira - Marketing</v>
      </c>
      <c r="L2" t="str">
        <f>TRIM(G2)</f>
        <v>Carlos Oliveira</v>
      </c>
      <c r="M2" t="str">
        <f>SUBSTITUTE(C2,"19","11")</f>
        <v>11913266455</v>
      </c>
      <c r="N2" t="str">
        <f>CONCATENATE(LEFT(B2,FIND(" ",B2)-1),".",E2,"@empresa.com")</f>
        <v>Carlos.Marketing@empresa.com</v>
      </c>
      <c r="O2" t="str">
        <f>LEFT(B2,FIND(" ",B2)-1)</f>
        <v>Carlos</v>
      </c>
      <c r="P2" t="str">
        <f>RIGHT(B2,LEN(B2)-FIND(" ",B2))</f>
        <v>Oliveira</v>
      </c>
      <c r="Q2" t="str">
        <f>SUBSTITUTE(A2,"2025","2026")</f>
        <v>FUNC-2026-1782</v>
      </c>
    </row>
    <row r="3" spans="1:17" x14ac:dyDescent="0.35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  <c r="H3" t="str">
        <f t="shared" ref="H3:H66" si="0">LEFT(A3,4)</f>
        <v>FUNC</v>
      </c>
      <c r="I3" t="str">
        <f t="shared" ref="I3:I66" si="1">RIGHT(A3,4)</f>
        <v>7144</v>
      </c>
      <c r="J3" t="str">
        <f t="shared" ref="J3:J66" si="2">MID(A3,6,4)</f>
        <v>2022</v>
      </c>
      <c r="K3" t="str">
        <f t="shared" ref="K3:K66" si="3">CONCATENATE(B3," - ",E3)</f>
        <v>Roberto Araujo - RH</v>
      </c>
      <c r="L3" t="str">
        <f t="shared" ref="L3:L66" si="4">TRIM(G3)</f>
        <v>Roberto Araujo</v>
      </c>
      <c r="M3" t="str">
        <f t="shared" ref="M3:M66" si="5">SUBSTITUTE(C3,"19","11")</f>
        <v>11950285933</v>
      </c>
      <c r="N3" t="str">
        <f t="shared" ref="N3:N66" si="6">CONCATENATE(LEFT(B3,FIND(" ",B3)-1),".",E3,"@empresa.com")</f>
        <v>Roberto.RH@empresa.com</v>
      </c>
      <c r="O3" t="str">
        <f t="shared" ref="O3:O66" si="7">LEFT(B3,FIND(" ",B3)-1)</f>
        <v>Roberto</v>
      </c>
      <c r="P3" t="str">
        <f t="shared" ref="P3:P66" si="8">RIGHT(B3,LEN(B3)-FIND(" ",B3))</f>
        <v>Araujo</v>
      </c>
      <c r="Q3" t="str">
        <f t="shared" ref="Q3:Q66" si="9">SUBSTITUTE(A3,"2025","2026")</f>
        <v>FUNC-2022-7144</v>
      </c>
    </row>
    <row r="4" spans="1:17" x14ac:dyDescent="0.35">
      <c r="A4" t="s">
        <v>21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 t="s">
        <v>27</v>
      </c>
      <c r="H4" t="str">
        <f t="shared" si="0"/>
        <v>FUNC</v>
      </c>
      <c r="I4" t="str">
        <f t="shared" si="1"/>
        <v>6778</v>
      </c>
      <c r="J4" t="str">
        <f t="shared" si="2"/>
        <v>2023</v>
      </c>
      <c r="K4" t="str">
        <f t="shared" si="3"/>
        <v>Ana Silva - TI</v>
      </c>
      <c r="L4" t="str">
        <f t="shared" si="4"/>
        <v>Ana Silva</v>
      </c>
      <c r="M4" t="str">
        <f t="shared" si="5"/>
        <v>11922698008</v>
      </c>
      <c r="N4" t="str">
        <f t="shared" si="6"/>
        <v>Ana.TI@empresa.com</v>
      </c>
      <c r="O4" t="str">
        <f t="shared" si="7"/>
        <v>Ana</v>
      </c>
      <c r="P4" t="str">
        <f t="shared" si="8"/>
        <v>Silva</v>
      </c>
      <c r="Q4" t="str">
        <f t="shared" si="9"/>
        <v>FUNC-2023-6778</v>
      </c>
    </row>
    <row r="5" spans="1:17" x14ac:dyDescent="0.35">
      <c r="A5" t="s">
        <v>28</v>
      </c>
      <c r="B5" t="s">
        <v>29</v>
      </c>
      <c r="C5" t="s">
        <v>30</v>
      </c>
      <c r="D5" t="s">
        <v>31</v>
      </c>
      <c r="E5" t="s">
        <v>11</v>
      </c>
      <c r="F5" t="s">
        <v>26</v>
      </c>
      <c r="G5" t="s">
        <v>32</v>
      </c>
      <c r="H5" t="str">
        <f t="shared" si="0"/>
        <v>FUNC</v>
      </c>
      <c r="I5" t="str">
        <f t="shared" si="1"/>
        <v>1503</v>
      </c>
      <c r="J5" t="str">
        <f t="shared" si="2"/>
        <v>2024</v>
      </c>
      <c r="K5" t="str">
        <f t="shared" si="3"/>
        <v>Ricardo Santos - Marketing</v>
      </c>
      <c r="L5" t="str">
        <f t="shared" si="4"/>
        <v>Ricardo Santos</v>
      </c>
      <c r="M5" t="str">
        <f t="shared" si="5"/>
        <v>11921077416</v>
      </c>
      <c r="N5" t="str">
        <f t="shared" si="6"/>
        <v>Ricardo.Marketing@empresa.com</v>
      </c>
      <c r="O5" t="str">
        <f t="shared" si="7"/>
        <v>Ricardo</v>
      </c>
      <c r="P5" t="str">
        <f t="shared" si="8"/>
        <v>Santos</v>
      </c>
      <c r="Q5" t="str">
        <f t="shared" si="9"/>
        <v>FUNC-2024-1503</v>
      </c>
    </row>
    <row r="6" spans="1:17" x14ac:dyDescent="0.35">
      <c r="A6" t="s">
        <v>33</v>
      </c>
      <c r="B6" t="s">
        <v>29</v>
      </c>
      <c r="C6" t="s">
        <v>34</v>
      </c>
      <c r="D6" t="s">
        <v>31</v>
      </c>
      <c r="E6" t="s">
        <v>18</v>
      </c>
      <c r="F6" t="s">
        <v>35</v>
      </c>
      <c r="G6" t="s">
        <v>32</v>
      </c>
      <c r="H6" t="str">
        <f t="shared" si="0"/>
        <v>FUNC</v>
      </c>
      <c r="I6" t="str">
        <f t="shared" si="1"/>
        <v>6481</v>
      </c>
      <c r="J6" t="str">
        <f t="shared" si="2"/>
        <v>2024</v>
      </c>
      <c r="K6" t="str">
        <f t="shared" si="3"/>
        <v>Ricardo Santos - RH</v>
      </c>
      <c r="L6" t="str">
        <f t="shared" si="4"/>
        <v>Ricardo Santos</v>
      </c>
      <c r="M6" t="str">
        <f t="shared" si="5"/>
        <v>11926862384</v>
      </c>
      <c r="N6" t="str">
        <f t="shared" si="6"/>
        <v>Ricardo.RH@empresa.com</v>
      </c>
      <c r="O6" t="str">
        <f t="shared" si="7"/>
        <v>Ricardo</v>
      </c>
      <c r="P6" t="str">
        <f t="shared" si="8"/>
        <v>Santos</v>
      </c>
      <c r="Q6" t="str">
        <f t="shared" si="9"/>
        <v>FUNC-2024-6481</v>
      </c>
    </row>
    <row r="7" spans="1:17" x14ac:dyDescent="0.35">
      <c r="A7" t="s">
        <v>36</v>
      </c>
      <c r="B7" t="s">
        <v>37</v>
      </c>
      <c r="C7" t="s">
        <v>38</v>
      </c>
      <c r="D7" t="s">
        <v>39</v>
      </c>
      <c r="E7" t="s">
        <v>11</v>
      </c>
      <c r="F7" t="s">
        <v>12</v>
      </c>
      <c r="G7" t="s">
        <v>40</v>
      </c>
      <c r="H7" t="str">
        <f t="shared" si="0"/>
        <v>FUNC</v>
      </c>
      <c r="I7" t="str">
        <f t="shared" si="1"/>
        <v>2742</v>
      </c>
      <c r="J7" t="str">
        <f t="shared" si="2"/>
        <v>2024</v>
      </c>
      <c r="K7" t="str">
        <f t="shared" si="3"/>
        <v>Lucas Costa - Marketing</v>
      </c>
      <c r="L7" t="str">
        <f t="shared" si="4"/>
        <v>Lucas Costa</v>
      </c>
      <c r="M7" t="str">
        <f t="shared" si="5"/>
        <v>11964502979</v>
      </c>
      <c r="N7" t="str">
        <f t="shared" si="6"/>
        <v>Lucas.Marketing@empresa.com</v>
      </c>
      <c r="O7" t="str">
        <f t="shared" si="7"/>
        <v>Lucas</v>
      </c>
      <c r="P7" t="str">
        <f t="shared" si="8"/>
        <v>Costa</v>
      </c>
      <c r="Q7" t="str">
        <f t="shared" si="9"/>
        <v>FUNC-2024-2742</v>
      </c>
    </row>
    <row r="8" spans="1:17" x14ac:dyDescent="0.35">
      <c r="A8" t="s">
        <v>41</v>
      </c>
      <c r="B8" t="s">
        <v>42</v>
      </c>
      <c r="C8" t="s">
        <v>43</v>
      </c>
      <c r="D8" t="s">
        <v>44</v>
      </c>
      <c r="E8" t="s">
        <v>18</v>
      </c>
      <c r="F8" t="s">
        <v>35</v>
      </c>
      <c r="G8" t="s">
        <v>45</v>
      </c>
      <c r="H8" t="str">
        <f t="shared" si="0"/>
        <v>FUNC</v>
      </c>
      <c r="I8" t="str">
        <f t="shared" si="1"/>
        <v>9656</v>
      </c>
      <c r="J8" t="str">
        <f t="shared" si="2"/>
        <v>2021</v>
      </c>
      <c r="K8" t="str">
        <f t="shared" si="3"/>
        <v>Julia Ferreira - RH</v>
      </c>
      <c r="L8" t="str">
        <f t="shared" si="4"/>
        <v>Julia Ferreira</v>
      </c>
      <c r="M8" t="str">
        <f t="shared" si="5"/>
        <v>11942762910</v>
      </c>
      <c r="N8" t="str">
        <f t="shared" si="6"/>
        <v>Julia.RH@empresa.com</v>
      </c>
      <c r="O8" t="str">
        <f t="shared" si="7"/>
        <v>Julia</v>
      </c>
      <c r="P8" t="str">
        <f t="shared" si="8"/>
        <v>Ferreira</v>
      </c>
      <c r="Q8" t="str">
        <f t="shared" si="9"/>
        <v>FUNC-2021-9656</v>
      </c>
    </row>
    <row r="9" spans="1:17" x14ac:dyDescent="0.35">
      <c r="A9" t="s">
        <v>46</v>
      </c>
      <c r="B9" t="s">
        <v>22</v>
      </c>
      <c r="C9" t="s">
        <v>47</v>
      </c>
      <c r="D9" t="s">
        <v>24</v>
      </c>
      <c r="E9" t="s">
        <v>48</v>
      </c>
      <c r="F9" t="s">
        <v>12</v>
      </c>
      <c r="G9" t="s">
        <v>27</v>
      </c>
      <c r="H9" t="str">
        <f t="shared" si="0"/>
        <v>FUNC</v>
      </c>
      <c r="I9" t="str">
        <f t="shared" si="1"/>
        <v>1840</v>
      </c>
      <c r="J9" t="str">
        <f t="shared" si="2"/>
        <v>2025</v>
      </c>
      <c r="K9" t="str">
        <f t="shared" si="3"/>
        <v>Ana Silva - Financeiro</v>
      </c>
      <c r="L9" t="str">
        <f t="shared" si="4"/>
        <v>Ana Silva</v>
      </c>
      <c r="M9" t="str">
        <f t="shared" si="5"/>
        <v>11942151630</v>
      </c>
      <c r="N9" t="str">
        <f t="shared" si="6"/>
        <v>Ana.Financeiro@empresa.com</v>
      </c>
      <c r="O9" t="str">
        <f t="shared" si="7"/>
        <v>Ana</v>
      </c>
      <c r="P9" t="str">
        <f t="shared" si="8"/>
        <v>Silva</v>
      </c>
      <c r="Q9" t="str">
        <f t="shared" si="9"/>
        <v>FUNC-2026-1840</v>
      </c>
    </row>
    <row r="10" spans="1:17" x14ac:dyDescent="0.35">
      <c r="A10" t="s">
        <v>49</v>
      </c>
      <c r="B10" t="s">
        <v>8</v>
      </c>
      <c r="C10" t="s">
        <v>50</v>
      </c>
      <c r="D10" t="s">
        <v>10</v>
      </c>
      <c r="E10" t="s">
        <v>25</v>
      </c>
      <c r="F10" t="s">
        <v>12</v>
      </c>
      <c r="G10" t="s">
        <v>13</v>
      </c>
      <c r="H10" t="str">
        <f t="shared" si="0"/>
        <v>FUNC</v>
      </c>
      <c r="I10" t="str">
        <f t="shared" si="1"/>
        <v>5971</v>
      </c>
      <c r="J10" t="str">
        <f t="shared" si="2"/>
        <v>2021</v>
      </c>
      <c r="K10" t="str">
        <f t="shared" si="3"/>
        <v>Carlos Oliveira - TI</v>
      </c>
      <c r="L10" t="str">
        <f t="shared" si="4"/>
        <v>Carlos Oliveira</v>
      </c>
      <c r="M10" t="str">
        <f t="shared" si="5"/>
        <v>11908338481</v>
      </c>
      <c r="N10" t="str">
        <f t="shared" si="6"/>
        <v>Carlos.TI@empresa.com</v>
      </c>
      <c r="O10" t="str">
        <f t="shared" si="7"/>
        <v>Carlos</v>
      </c>
      <c r="P10" t="str">
        <f t="shared" si="8"/>
        <v>Oliveira</v>
      </c>
      <c r="Q10" t="str">
        <f t="shared" si="9"/>
        <v>FUNC-2021-5971</v>
      </c>
    </row>
    <row r="11" spans="1:17" x14ac:dyDescent="0.35">
      <c r="A11" t="s">
        <v>51</v>
      </c>
      <c r="B11" t="s">
        <v>29</v>
      </c>
      <c r="C11" t="s">
        <v>52</v>
      </c>
      <c r="D11" t="s">
        <v>31</v>
      </c>
      <c r="E11" t="s">
        <v>25</v>
      </c>
      <c r="F11" t="s">
        <v>26</v>
      </c>
      <c r="G11" t="s">
        <v>32</v>
      </c>
      <c r="H11" t="str">
        <f t="shared" si="0"/>
        <v>FUNC</v>
      </c>
      <c r="I11" t="str">
        <f t="shared" si="1"/>
        <v>3665</v>
      </c>
      <c r="J11" t="str">
        <f t="shared" si="2"/>
        <v>2022</v>
      </c>
      <c r="K11" t="str">
        <f t="shared" si="3"/>
        <v>Ricardo Santos - TI</v>
      </c>
      <c r="L11" t="str">
        <f t="shared" si="4"/>
        <v>Ricardo Santos</v>
      </c>
      <c r="M11" t="str">
        <f t="shared" si="5"/>
        <v>11924533900</v>
      </c>
      <c r="N11" t="str">
        <f t="shared" si="6"/>
        <v>Ricardo.TI@empresa.com</v>
      </c>
      <c r="O11" t="str">
        <f t="shared" si="7"/>
        <v>Ricardo</v>
      </c>
      <c r="P11" t="str">
        <f t="shared" si="8"/>
        <v>Santos</v>
      </c>
      <c r="Q11" t="str">
        <f t="shared" si="9"/>
        <v>FUNC-2022-3665</v>
      </c>
    </row>
    <row r="12" spans="1:17" x14ac:dyDescent="0.35">
      <c r="A12" t="s">
        <v>53</v>
      </c>
      <c r="B12" t="s">
        <v>15</v>
      </c>
      <c r="C12" t="s">
        <v>54</v>
      </c>
      <c r="D12" t="s">
        <v>17</v>
      </c>
      <c r="E12" t="s">
        <v>11</v>
      </c>
      <c r="F12" t="s">
        <v>26</v>
      </c>
      <c r="G12" t="s">
        <v>20</v>
      </c>
      <c r="H12" t="str">
        <f t="shared" si="0"/>
        <v>FUNC</v>
      </c>
      <c r="I12" t="str">
        <f t="shared" si="1"/>
        <v>3368</v>
      </c>
      <c r="J12" t="str">
        <f t="shared" si="2"/>
        <v>2022</v>
      </c>
      <c r="K12" t="str">
        <f t="shared" si="3"/>
        <v>Roberto Araujo - Marketing</v>
      </c>
      <c r="L12" t="str">
        <f t="shared" si="4"/>
        <v>Roberto Araujo</v>
      </c>
      <c r="M12" t="str">
        <f t="shared" si="5"/>
        <v>11938989967</v>
      </c>
      <c r="N12" t="str">
        <f t="shared" si="6"/>
        <v>Roberto.Marketing@empresa.com</v>
      </c>
      <c r="O12" t="str">
        <f t="shared" si="7"/>
        <v>Roberto</v>
      </c>
      <c r="P12" t="str">
        <f t="shared" si="8"/>
        <v>Araujo</v>
      </c>
      <c r="Q12" t="str">
        <f t="shared" si="9"/>
        <v>FUNC-2022-3368</v>
      </c>
    </row>
    <row r="13" spans="1:17" x14ac:dyDescent="0.35">
      <c r="A13" t="s">
        <v>55</v>
      </c>
      <c r="B13" t="s">
        <v>15</v>
      </c>
      <c r="C13" t="s">
        <v>56</v>
      </c>
      <c r="D13" t="s">
        <v>17</v>
      </c>
      <c r="E13" t="s">
        <v>48</v>
      </c>
      <c r="F13" t="s">
        <v>26</v>
      </c>
      <c r="G13" t="s">
        <v>20</v>
      </c>
      <c r="H13" t="str">
        <f t="shared" si="0"/>
        <v>FUNC</v>
      </c>
      <c r="I13" t="str">
        <f t="shared" si="1"/>
        <v>1628</v>
      </c>
      <c r="J13" t="str">
        <f t="shared" si="2"/>
        <v>2021</v>
      </c>
      <c r="K13" t="str">
        <f t="shared" si="3"/>
        <v>Roberto Araujo - Financeiro</v>
      </c>
      <c r="L13" t="str">
        <f t="shared" si="4"/>
        <v>Roberto Araujo</v>
      </c>
      <c r="M13" t="str">
        <f t="shared" si="5"/>
        <v>11949139702</v>
      </c>
      <c r="N13" t="str">
        <f t="shared" si="6"/>
        <v>Roberto.Financeiro@empresa.com</v>
      </c>
      <c r="O13" t="str">
        <f t="shared" si="7"/>
        <v>Roberto</v>
      </c>
      <c r="P13" t="str">
        <f t="shared" si="8"/>
        <v>Araujo</v>
      </c>
      <c r="Q13" t="str">
        <f t="shared" si="9"/>
        <v>FUNC-2021-1628</v>
      </c>
    </row>
    <row r="14" spans="1:17" x14ac:dyDescent="0.35">
      <c r="A14" t="s">
        <v>57</v>
      </c>
      <c r="B14" t="s">
        <v>42</v>
      </c>
      <c r="C14" t="s">
        <v>58</v>
      </c>
      <c r="D14" t="s">
        <v>44</v>
      </c>
      <c r="E14" t="s">
        <v>18</v>
      </c>
      <c r="F14" t="s">
        <v>59</v>
      </c>
      <c r="G14" t="s">
        <v>45</v>
      </c>
      <c r="H14" t="str">
        <f t="shared" si="0"/>
        <v>FUNC</v>
      </c>
      <c r="I14" t="str">
        <f t="shared" si="1"/>
        <v>8284</v>
      </c>
      <c r="J14" t="str">
        <f t="shared" si="2"/>
        <v>2023</v>
      </c>
      <c r="K14" t="str">
        <f t="shared" si="3"/>
        <v>Julia Ferreira - RH</v>
      </c>
      <c r="L14" t="str">
        <f t="shared" si="4"/>
        <v>Julia Ferreira</v>
      </c>
      <c r="M14" t="str">
        <f t="shared" si="5"/>
        <v>11972177118</v>
      </c>
      <c r="N14" t="str">
        <f t="shared" si="6"/>
        <v>Julia.RH@empresa.com</v>
      </c>
      <c r="O14" t="str">
        <f t="shared" si="7"/>
        <v>Julia</v>
      </c>
      <c r="P14" t="str">
        <f t="shared" si="8"/>
        <v>Ferreira</v>
      </c>
      <c r="Q14" t="str">
        <f t="shared" si="9"/>
        <v>FUNC-2023-8284</v>
      </c>
    </row>
    <row r="15" spans="1:17" x14ac:dyDescent="0.35">
      <c r="A15" t="s">
        <v>60</v>
      </c>
      <c r="B15" t="s">
        <v>42</v>
      </c>
      <c r="C15" t="s">
        <v>61</v>
      </c>
      <c r="D15" t="s">
        <v>44</v>
      </c>
      <c r="E15" t="s">
        <v>11</v>
      </c>
      <c r="F15" t="s">
        <v>59</v>
      </c>
      <c r="G15" t="s">
        <v>45</v>
      </c>
      <c r="H15" t="str">
        <f t="shared" si="0"/>
        <v>FUNC</v>
      </c>
      <c r="I15" t="str">
        <f t="shared" si="1"/>
        <v>3274</v>
      </c>
      <c r="J15" t="str">
        <f t="shared" si="2"/>
        <v>2023</v>
      </c>
      <c r="K15" t="str">
        <f t="shared" si="3"/>
        <v>Julia Ferreira - Marketing</v>
      </c>
      <c r="L15" t="str">
        <f t="shared" si="4"/>
        <v>Julia Ferreira</v>
      </c>
      <c r="M15" t="str">
        <f t="shared" si="5"/>
        <v>11975490439</v>
      </c>
      <c r="N15" t="str">
        <f t="shared" si="6"/>
        <v>Julia.Marketing@empresa.com</v>
      </c>
      <c r="O15" t="str">
        <f t="shared" si="7"/>
        <v>Julia</v>
      </c>
      <c r="P15" t="str">
        <f t="shared" si="8"/>
        <v>Ferreira</v>
      </c>
      <c r="Q15" t="str">
        <f t="shared" si="9"/>
        <v>FUNC-2023-3274</v>
      </c>
    </row>
    <row r="16" spans="1:17" x14ac:dyDescent="0.35">
      <c r="A16" t="s">
        <v>62</v>
      </c>
      <c r="B16" t="s">
        <v>8</v>
      </c>
      <c r="C16" t="s">
        <v>63</v>
      </c>
      <c r="D16" t="s">
        <v>10</v>
      </c>
      <c r="E16" t="s">
        <v>48</v>
      </c>
      <c r="F16" t="s">
        <v>19</v>
      </c>
      <c r="G16" t="s">
        <v>13</v>
      </c>
      <c r="H16" t="str">
        <f t="shared" si="0"/>
        <v>FUNC</v>
      </c>
      <c r="I16" t="str">
        <f t="shared" si="1"/>
        <v>7958</v>
      </c>
      <c r="J16" t="str">
        <f t="shared" si="2"/>
        <v>2021</v>
      </c>
      <c r="K16" t="str">
        <f t="shared" si="3"/>
        <v>Carlos Oliveira - Financeiro</v>
      </c>
      <c r="L16" t="str">
        <f t="shared" si="4"/>
        <v>Carlos Oliveira</v>
      </c>
      <c r="M16" t="str">
        <f t="shared" si="5"/>
        <v>11927433837</v>
      </c>
      <c r="N16" t="str">
        <f t="shared" si="6"/>
        <v>Carlos.Financeiro@empresa.com</v>
      </c>
      <c r="O16" t="str">
        <f t="shared" si="7"/>
        <v>Carlos</v>
      </c>
      <c r="P16" t="str">
        <f t="shared" si="8"/>
        <v>Oliveira</v>
      </c>
      <c r="Q16" t="str">
        <f t="shared" si="9"/>
        <v>FUNC-2021-7958</v>
      </c>
    </row>
    <row r="17" spans="1:17" x14ac:dyDescent="0.35">
      <c r="A17" t="s">
        <v>64</v>
      </c>
      <c r="B17" t="s">
        <v>65</v>
      </c>
      <c r="C17" t="s">
        <v>66</v>
      </c>
      <c r="D17" t="s">
        <v>67</v>
      </c>
      <c r="E17" t="s">
        <v>11</v>
      </c>
      <c r="F17" t="s">
        <v>19</v>
      </c>
      <c r="G17" t="s">
        <v>68</v>
      </c>
      <c r="H17" t="str">
        <f t="shared" si="0"/>
        <v>FUNC</v>
      </c>
      <c r="I17" t="str">
        <f t="shared" si="1"/>
        <v>2687</v>
      </c>
      <c r="J17" t="str">
        <f t="shared" si="2"/>
        <v>2025</v>
      </c>
      <c r="K17" t="str">
        <f t="shared" si="3"/>
        <v>Mariana Souza - Marketing</v>
      </c>
      <c r="L17" t="str">
        <f t="shared" si="4"/>
        <v>Mariana Souza</v>
      </c>
      <c r="M17" t="str">
        <f t="shared" si="5"/>
        <v>11976084282</v>
      </c>
      <c r="N17" t="str">
        <f t="shared" si="6"/>
        <v>Mariana.Marketing@empresa.com</v>
      </c>
      <c r="O17" t="str">
        <f t="shared" si="7"/>
        <v>Mariana</v>
      </c>
      <c r="P17" t="str">
        <f t="shared" si="8"/>
        <v>Souza</v>
      </c>
      <c r="Q17" t="str">
        <f t="shared" si="9"/>
        <v>FUNC-2026-2687</v>
      </c>
    </row>
    <row r="18" spans="1:17" x14ac:dyDescent="0.35">
      <c r="A18" t="s">
        <v>69</v>
      </c>
      <c r="B18" t="s">
        <v>65</v>
      </c>
      <c r="C18" t="s">
        <v>70</v>
      </c>
      <c r="D18" t="s">
        <v>67</v>
      </c>
      <c r="E18" t="s">
        <v>48</v>
      </c>
      <c r="F18" t="s">
        <v>12</v>
      </c>
      <c r="G18" t="s">
        <v>68</v>
      </c>
      <c r="H18" t="str">
        <f t="shared" si="0"/>
        <v>FUNC</v>
      </c>
      <c r="I18" t="str">
        <f t="shared" si="1"/>
        <v>1042</v>
      </c>
      <c r="J18" t="str">
        <f t="shared" si="2"/>
        <v>2025</v>
      </c>
      <c r="K18" t="str">
        <f t="shared" si="3"/>
        <v>Mariana Souza - Financeiro</v>
      </c>
      <c r="L18" t="str">
        <f t="shared" si="4"/>
        <v>Mariana Souza</v>
      </c>
      <c r="M18" t="str">
        <f t="shared" si="5"/>
        <v>11997459540</v>
      </c>
      <c r="N18" t="str">
        <f t="shared" si="6"/>
        <v>Mariana.Financeiro@empresa.com</v>
      </c>
      <c r="O18" t="str">
        <f t="shared" si="7"/>
        <v>Mariana</v>
      </c>
      <c r="P18" t="str">
        <f t="shared" si="8"/>
        <v>Souza</v>
      </c>
      <c r="Q18" t="str">
        <f t="shared" si="9"/>
        <v>FUNC-2026-1042</v>
      </c>
    </row>
    <row r="19" spans="1:17" x14ac:dyDescent="0.35">
      <c r="A19" t="s">
        <v>71</v>
      </c>
      <c r="B19" t="s">
        <v>65</v>
      </c>
      <c r="C19" t="s">
        <v>72</v>
      </c>
      <c r="D19" t="s">
        <v>67</v>
      </c>
      <c r="E19" t="s">
        <v>73</v>
      </c>
      <c r="F19" t="s">
        <v>35</v>
      </c>
      <c r="G19" t="s">
        <v>68</v>
      </c>
      <c r="H19" t="str">
        <f t="shared" si="0"/>
        <v>FUNC</v>
      </c>
      <c r="I19" t="str">
        <f t="shared" si="1"/>
        <v>3110</v>
      </c>
      <c r="J19" t="str">
        <f t="shared" si="2"/>
        <v>2026</v>
      </c>
      <c r="K19" t="str">
        <f t="shared" si="3"/>
        <v>Mariana Souza - Vendas</v>
      </c>
      <c r="L19" t="str">
        <f t="shared" si="4"/>
        <v>Mariana Souza</v>
      </c>
      <c r="M19" t="str">
        <f t="shared" si="5"/>
        <v>11995236448</v>
      </c>
      <c r="N19" t="str">
        <f t="shared" si="6"/>
        <v>Mariana.Vendas@empresa.com</v>
      </c>
      <c r="O19" t="str">
        <f t="shared" si="7"/>
        <v>Mariana</v>
      </c>
      <c r="P19" t="str">
        <f t="shared" si="8"/>
        <v>Souza</v>
      </c>
      <c r="Q19" t="str">
        <f t="shared" si="9"/>
        <v>FUNC-2026-3110</v>
      </c>
    </row>
    <row r="20" spans="1:17" x14ac:dyDescent="0.35">
      <c r="A20" t="s">
        <v>74</v>
      </c>
      <c r="B20" t="s">
        <v>37</v>
      </c>
      <c r="C20" t="s">
        <v>75</v>
      </c>
      <c r="D20" t="s">
        <v>39</v>
      </c>
      <c r="E20" t="s">
        <v>11</v>
      </c>
      <c r="F20" t="s">
        <v>59</v>
      </c>
      <c r="G20" t="s">
        <v>40</v>
      </c>
      <c r="H20" t="str">
        <f t="shared" si="0"/>
        <v>FUNC</v>
      </c>
      <c r="I20" t="str">
        <f t="shared" si="1"/>
        <v>9116</v>
      </c>
      <c r="J20" t="str">
        <f t="shared" si="2"/>
        <v>2026</v>
      </c>
      <c r="K20" t="str">
        <f t="shared" si="3"/>
        <v>Lucas Costa - Marketing</v>
      </c>
      <c r="L20" t="str">
        <f t="shared" si="4"/>
        <v>Lucas Costa</v>
      </c>
      <c r="M20" t="str">
        <f t="shared" si="5"/>
        <v>11953713734</v>
      </c>
      <c r="N20" t="str">
        <f t="shared" si="6"/>
        <v>Lucas.Marketing@empresa.com</v>
      </c>
      <c r="O20" t="str">
        <f t="shared" si="7"/>
        <v>Lucas</v>
      </c>
      <c r="P20" t="str">
        <f t="shared" si="8"/>
        <v>Costa</v>
      </c>
      <c r="Q20" t="str">
        <f t="shared" si="9"/>
        <v>FUNC-2026-9116</v>
      </c>
    </row>
    <row r="21" spans="1:17" x14ac:dyDescent="0.35">
      <c r="A21" t="s">
        <v>76</v>
      </c>
      <c r="B21" t="s">
        <v>8</v>
      </c>
      <c r="C21" t="s">
        <v>77</v>
      </c>
      <c r="D21" t="s">
        <v>10</v>
      </c>
      <c r="E21" t="s">
        <v>73</v>
      </c>
      <c r="F21" t="s">
        <v>59</v>
      </c>
      <c r="G21" t="s">
        <v>13</v>
      </c>
      <c r="H21" t="str">
        <f t="shared" si="0"/>
        <v>FUNC</v>
      </c>
      <c r="I21" t="str">
        <f t="shared" si="1"/>
        <v>2892</v>
      </c>
      <c r="J21" t="str">
        <f t="shared" si="2"/>
        <v>2021</v>
      </c>
      <c r="K21" t="str">
        <f t="shared" si="3"/>
        <v>Carlos Oliveira - Vendas</v>
      </c>
      <c r="L21" t="str">
        <f t="shared" si="4"/>
        <v>Carlos Oliveira</v>
      </c>
      <c r="M21" t="str">
        <f t="shared" si="5"/>
        <v>11913395669</v>
      </c>
      <c r="N21" t="str">
        <f t="shared" si="6"/>
        <v>Carlos.Vendas@empresa.com</v>
      </c>
      <c r="O21" t="str">
        <f t="shared" si="7"/>
        <v>Carlos</v>
      </c>
      <c r="P21" t="str">
        <f t="shared" si="8"/>
        <v>Oliveira</v>
      </c>
      <c r="Q21" t="str">
        <f t="shared" si="9"/>
        <v>FUNC-2021-2892</v>
      </c>
    </row>
    <row r="22" spans="1:17" x14ac:dyDescent="0.35">
      <c r="A22" t="s">
        <v>78</v>
      </c>
      <c r="B22" t="s">
        <v>42</v>
      </c>
      <c r="C22" t="s">
        <v>79</v>
      </c>
      <c r="D22" t="s">
        <v>44</v>
      </c>
      <c r="E22" t="s">
        <v>25</v>
      </c>
      <c r="F22" t="s">
        <v>35</v>
      </c>
      <c r="G22" t="s">
        <v>45</v>
      </c>
      <c r="H22" t="str">
        <f t="shared" si="0"/>
        <v>FUNC</v>
      </c>
      <c r="I22" t="str">
        <f t="shared" si="1"/>
        <v>5933</v>
      </c>
      <c r="J22" t="str">
        <f t="shared" si="2"/>
        <v>2022</v>
      </c>
      <c r="K22" t="str">
        <f t="shared" si="3"/>
        <v>Julia Ferreira - TI</v>
      </c>
      <c r="L22" t="str">
        <f t="shared" si="4"/>
        <v>Julia Ferreira</v>
      </c>
      <c r="M22" t="str">
        <f t="shared" si="5"/>
        <v>11981143413</v>
      </c>
      <c r="N22" t="str">
        <f t="shared" si="6"/>
        <v>Julia.TI@empresa.com</v>
      </c>
      <c r="O22" t="str">
        <f t="shared" si="7"/>
        <v>Julia</v>
      </c>
      <c r="P22" t="str">
        <f t="shared" si="8"/>
        <v>Ferreira</v>
      </c>
      <c r="Q22" t="str">
        <f t="shared" si="9"/>
        <v>FUNC-2022-5933</v>
      </c>
    </row>
    <row r="23" spans="1:17" x14ac:dyDescent="0.35">
      <c r="A23" t="s">
        <v>80</v>
      </c>
      <c r="B23" t="s">
        <v>81</v>
      </c>
      <c r="C23" t="s">
        <v>82</v>
      </c>
      <c r="D23" t="s">
        <v>83</v>
      </c>
      <c r="E23" t="s">
        <v>73</v>
      </c>
      <c r="F23" t="s">
        <v>12</v>
      </c>
      <c r="G23" t="s">
        <v>84</v>
      </c>
      <c r="H23" t="str">
        <f t="shared" si="0"/>
        <v>FUNC</v>
      </c>
      <c r="I23" t="str">
        <f t="shared" si="1"/>
        <v>9716</v>
      </c>
      <c r="J23" t="str">
        <f t="shared" si="2"/>
        <v>2022</v>
      </c>
      <c r="K23" t="str">
        <f t="shared" si="3"/>
        <v>Pedro Lima - Vendas</v>
      </c>
      <c r="L23" t="str">
        <f t="shared" si="4"/>
        <v>Pedro Lima</v>
      </c>
      <c r="M23" t="str">
        <f t="shared" si="5"/>
        <v>11990642061</v>
      </c>
      <c r="N23" t="str">
        <f t="shared" si="6"/>
        <v>Pedro.Vendas@empresa.com</v>
      </c>
      <c r="O23" t="str">
        <f t="shared" si="7"/>
        <v>Pedro</v>
      </c>
      <c r="P23" t="str">
        <f t="shared" si="8"/>
        <v>Lima</v>
      </c>
      <c r="Q23" t="str">
        <f t="shared" si="9"/>
        <v>FUNC-2022-9716</v>
      </c>
    </row>
    <row r="24" spans="1:17" x14ac:dyDescent="0.35">
      <c r="A24" t="s">
        <v>85</v>
      </c>
      <c r="B24" t="s">
        <v>81</v>
      </c>
      <c r="C24" t="s">
        <v>86</v>
      </c>
      <c r="D24" t="s">
        <v>83</v>
      </c>
      <c r="E24" t="s">
        <v>18</v>
      </c>
      <c r="F24" t="s">
        <v>59</v>
      </c>
      <c r="G24" t="s">
        <v>84</v>
      </c>
      <c r="H24" t="str">
        <f t="shared" si="0"/>
        <v>FUNC</v>
      </c>
      <c r="I24" t="str">
        <f t="shared" si="1"/>
        <v>4966</v>
      </c>
      <c r="J24" t="str">
        <f t="shared" si="2"/>
        <v>2024</v>
      </c>
      <c r="K24" t="str">
        <f t="shared" si="3"/>
        <v>Pedro Lima - RH</v>
      </c>
      <c r="L24" t="str">
        <f t="shared" si="4"/>
        <v>Pedro Lima</v>
      </c>
      <c r="M24" t="str">
        <f t="shared" si="5"/>
        <v>11983542845</v>
      </c>
      <c r="N24" t="str">
        <f t="shared" si="6"/>
        <v>Pedro.RH@empresa.com</v>
      </c>
      <c r="O24" t="str">
        <f t="shared" si="7"/>
        <v>Pedro</v>
      </c>
      <c r="P24" t="str">
        <f t="shared" si="8"/>
        <v>Lima</v>
      </c>
      <c r="Q24" t="str">
        <f t="shared" si="9"/>
        <v>FUNC-2024-4966</v>
      </c>
    </row>
    <row r="25" spans="1:17" x14ac:dyDescent="0.35">
      <c r="A25" t="s">
        <v>87</v>
      </c>
      <c r="B25" t="s">
        <v>42</v>
      </c>
      <c r="C25" t="s">
        <v>88</v>
      </c>
      <c r="D25" t="s">
        <v>44</v>
      </c>
      <c r="E25" t="s">
        <v>48</v>
      </c>
      <c r="F25" t="s">
        <v>35</v>
      </c>
      <c r="G25" t="s">
        <v>45</v>
      </c>
      <c r="H25" t="str">
        <f t="shared" si="0"/>
        <v>FUNC</v>
      </c>
      <c r="I25" t="str">
        <f t="shared" si="1"/>
        <v>9660</v>
      </c>
      <c r="J25" t="str">
        <f t="shared" si="2"/>
        <v>2023</v>
      </c>
      <c r="K25" t="str">
        <f t="shared" si="3"/>
        <v>Julia Ferreira - Financeiro</v>
      </c>
      <c r="L25" t="str">
        <f t="shared" si="4"/>
        <v>Julia Ferreira</v>
      </c>
      <c r="M25" t="str">
        <f t="shared" si="5"/>
        <v>11911195777</v>
      </c>
      <c r="N25" t="str">
        <f t="shared" si="6"/>
        <v>Julia.Financeiro@empresa.com</v>
      </c>
      <c r="O25" t="str">
        <f t="shared" si="7"/>
        <v>Julia</v>
      </c>
      <c r="P25" t="str">
        <f t="shared" si="8"/>
        <v>Ferreira</v>
      </c>
      <c r="Q25" t="str">
        <f t="shared" si="9"/>
        <v>FUNC-2023-9660</v>
      </c>
    </row>
    <row r="26" spans="1:17" x14ac:dyDescent="0.35">
      <c r="A26" t="s">
        <v>89</v>
      </c>
      <c r="B26" t="s">
        <v>90</v>
      </c>
      <c r="C26" t="s">
        <v>91</v>
      </c>
      <c r="D26" t="s">
        <v>92</v>
      </c>
      <c r="E26" t="s">
        <v>18</v>
      </c>
      <c r="F26" t="s">
        <v>35</v>
      </c>
      <c r="G26" t="s">
        <v>93</v>
      </c>
      <c r="H26" t="str">
        <f t="shared" si="0"/>
        <v>FUNC</v>
      </c>
      <c r="I26" t="str">
        <f t="shared" si="1"/>
        <v>2945</v>
      </c>
      <c r="J26" t="str">
        <f t="shared" si="2"/>
        <v>2023</v>
      </c>
      <c r="K26" t="str">
        <f t="shared" si="3"/>
        <v>Patricia Mendes - RH</v>
      </c>
      <c r="L26" t="str">
        <f t="shared" si="4"/>
        <v>Patricia Mendes</v>
      </c>
      <c r="M26" t="str">
        <f t="shared" si="5"/>
        <v>11975452769</v>
      </c>
      <c r="N26" t="str">
        <f t="shared" si="6"/>
        <v>Patricia.RH@empresa.com</v>
      </c>
      <c r="O26" t="str">
        <f t="shared" si="7"/>
        <v>Patricia</v>
      </c>
      <c r="P26" t="str">
        <f t="shared" si="8"/>
        <v>Mendes</v>
      </c>
      <c r="Q26" t="str">
        <f t="shared" si="9"/>
        <v>FUNC-2023-2945</v>
      </c>
    </row>
    <row r="27" spans="1:17" x14ac:dyDescent="0.35">
      <c r="A27" t="s">
        <v>94</v>
      </c>
      <c r="B27" t="s">
        <v>22</v>
      </c>
      <c r="C27" t="s">
        <v>95</v>
      </c>
      <c r="D27" t="s">
        <v>24</v>
      </c>
      <c r="E27" t="s">
        <v>25</v>
      </c>
      <c r="F27" t="s">
        <v>59</v>
      </c>
      <c r="G27" t="s">
        <v>27</v>
      </c>
      <c r="H27" t="str">
        <f t="shared" si="0"/>
        <v>FUNC</v>
      </c>
      <c r="I27" t="str">
        <f t="shared" si="1"/>
        <v>9189</v>
      </c>
      <c r="J27" t="str">
        <f t="shared" si="2"/>
        <v>2021</v>
      </c>
      <c r="K27" t="str">
        <f t="shared" si="3"/>
        <v>Ana Silva - TI</v>
      </c>
      <c r="L27" t="str">
        <f t="shared" si="4"/>
        <v>Ana Silva</v>
      </c>
      <c r="M27" t="str">
        <f t="shared" si="5"/>
        <v>11923972547</v>
      </c>
      <c r="N27" t="str">
        <f t="shared" si="6"/>
        <v>Ana.TI@empresa.com</v>
      </c>
      <c r="O27" t="str">
        <f t="shared" si="7"/>
        <v>Ana</v>
      </c>
      <c r="P27" t="str">
        <f t="shared" si="8"/>
        <v>Silva</v>
      </c>
      <c r="Q27" t="str">
        <f t="shared" si="9"/>
        <v>FUNC-2021-9189</v>
      </c>
    </row>
    <row r="28" spans="1:17" x14ac:dyDescent="0.35">
      <c r="A28" t="s">
        <v>96</v>
      </c>
      <c r="B28" t="s">
        <v>37</v>
      </c>
      <c r="C28" t="s">
        <v>97</v>
      </c>
      <c r="D28" t="s">
        <v>39</v>
      </c>
      <c r="E28" t="s">
        <v>25</v>
      </c>
      <c r="F28" t="s">
        <v>19</v>
      </c>
      <c r="G28" t="s">
        <v>40</v>
      </c>
      <c r="H28" t="str">
        <f t="shared" si="0"/>
        <v>FUNC</v>
      </c>
      <c r="I28" t="str">
        <f t="shared" si="1"/>
        <v>3243</v>
      </c>
      <c r="J28" t="str">
        <f t="shared" si="2"/>
        <v>2022</v>
      </c>
      <c r="K28" t="str">
        <f t="shared" si="3"/>
        <v>Lucas Costa - TI</v>
      </c>
      <c r="L28" t="str">
        <f t="shared" si="4"/>
        <v>Lucas Costa</v>
      </c>
      <c r="M28" t="str">
        <f t="shared" si="5"/>
        <v>11972166354</v>
      </c>
      <c r="N28" t="str">
        <f t="shared" si="6"/>
        <v>Lucas.TI@empresa.com</v>
      </c>
      <c r="O28" t="str">
        <f t="shared" si="7"/>
        <v>Lucas</v>
      </c>
      <c r="P28" t="str">
        <f t="shared" si="8"/>
        <v>Costa</v>
      </c>
      <c r="Q28" t="str">
        <f t="shared" si="9"/>
        <v>FUNC-2022-3243</v>
      </c>
    </row>
    <row r="29" spans="1:17" x14ac:dyDescent="0.35">
      <c r="A29" t="s">
        <v>98</v>
      </c>
      <c r="B29" t="s">
        <v>81</v>
      </c>
      <c r="C29" t="s">
        <v>99</v>
      </c>
      <c r="D29" t="s">
        <v>83</v>
      </c>
      <c r="E29" t="s">
        <v>25</v>
      </c>
      <c r="F29" t="s">
        <v>35</v>
      </c>
      <c r="G29" t="s">
        <v>84</v>
      </c>
      <c r="H29" t="str">
        <f t="shared" si="0"/>
        <v>FUNC</v>
      </c>
      <c r="I29" t="str">
        <f t="shared" si="1"/>
        <v>2014</v>
      </c>
      <c r="J29" t="str">
        <f t="shared" si="2"/>
        <v>2022</v>
      </c>
      <c r="K29" t="str">
        <f t="shared" si="3"/>
        <v>Pedro Lima - TI</v>
      </c>
      <c r="L29" t="str">
        <f t="shared" si="4"/>
        <v>Pedro Lima</v>
      </c>
      <c r="M29" t="str">
        <f t="shared" si="5"/>
        <v>11961116279</v>
      </c>
      <c r="N29" t="str">
        <f t="shared" si="6"/>
        <v>Pedro.TI@empresa.com</v>
      </c>
      <c r="O29" t="str">
        <f t="shared" si="7"/>
        <v>Pedro</v>
      </c>
      <c r="P29" t="str">
        <f t="shared" si="8"/>
        <v>Lima</v>
      </c>
      <c r="Q29" t="str">
        <f t="shared" si="9"/>
        <v>FUNC-2022-2014</v>
      </c>
    </row>
    <row r="30" spans="1:17" x14ac:dyDescent="0.35">
      <c r="A30" t="s">
        <v>100</v>
      </c>
      <c r="B30" t="s">
        <v>42</v>
      </c>
      <c r="C30" t="s">
        <v>101</v>
      </c>
      <c r="D30" t="s">
        <v>44</v>
      </c>
      <c r="E30" t="s">
        <v>25</v>
      </c>
      <c r="F30" t="s">
        <v>26</v>
      </c>
      <c r="G30" t="s">
        <v>45</v>
      </c>
      <c r="H30" t="str">
        <f t="shared" si="0"/>
        <v>FUNC</v>
      </c>
      <c r="I30" t="str">
        <f t="shared" si="1"/>
        <v>3870</v>
      </c>
      <c r="J30" t="str">
        <f t="shared" si="2"/>
        <v>2021</v>
      </c>
      <c r="K30" t="str">
        <f t="shared" si="3"/>
        <v>Julia Ferreira - TI</v>
      </c>
      <c r="L30" t="str">
        <f t="shared" si="4"/>
        <v>Julia Ferreira</v>
      </c>
      <c r="M30" t="str">
        <f t="shared" si="5"/>
        <v>11977362284</v>
      </c>
      <c r="N30" t="str">
        <f t="shared" si="6"/>
        <v>Julia.TI@empresa.com</v>
      </c>
      <c r="O30" t="str">
        <f t="shared" si="7"/>
        <v>Julia</v>
      </c>
      <c r="P30" t="str">
        <f t="shared" si="8"/>
        <v>Ferreira</v>
      </c>
      <c r="Q30" t="str">
        <f t="shared" si="9"/>
        <v>FUNC-2021-3870</v>
      </c>
    </row>
    <row r="31" spans="1:17" x14ac:dyDescent="0.35">
      <c r="A31" t="s">
        <v>102</v>
      </c>
      <c r="B31" t="s">
        <v>22</v>
      </c>
      <c r="C31" t="s">
        <v>103</v>
      </c>
      <c r="D31" t="s">
        <v>24</v>
      </c>
      <c r="E31" t="s">
        <v>73</v>
      </c>
      <c r="F31" t="s">
        <v>26</v>
      </c>
      <c r="G31" t="s">
        <v>27</v>
      </c>
      <c r="H31" t="str">
        <f t="shared" si="0"/>
        <v>FUNC</v>
      </c>
      <c r="I31" t="str">
        <f t="shared" si="1"/>
        <v>8962</v>
      </c>
      <c r="J31" t="str">
        <f t="shared" si="2"/>
        <v>2024</v>
      </c>
      <c r="K31" t="str">
        <f t="shared" si="3"/>
        <v>Ana Silva - Vendas</v>
      </c>
      <c r="L31" t="str">
        <f t="shared" si="4"/>
        <v>Ana Silva</v>
      </c>
      <c r="M31" t="str">
        <f t="shared" si="5"/>
        <v>11930169685</v>
      </c>
      <c r="N31" t="str">
        <f t="shared" si="6"/>
        <v>Ana.Vendas@empresa.com</v>
      </c>
      <c r="O31" t="str">
        <f t="shared" si="7"/>
        <v>Ana</v>
      </c>
      <c r="P31" t="str">
        <f t="shared" si="8"/>
        <v>Silva</v>
      </c>
      <c r="Q31" t="str">
        <f t="shared" si="9"/>
        <v>FUNC-2024-8962</v>
      </c>
    </row>
    <row r="32" spans="1:17" x14ac:dyDescent="0.35">
      <c r="A32" t="s">
        <v>104</v>
      </c>
      <c r="B32" t="s">
        <v>37</v>
      </c>
      <c r="C32" t="s">
        <v>105</v>
      </c>
      <c r="D32" t="s">
        <v>39</v>
      </c>
      <c r="E32" t="s">
        <v>48</v>
      </c>
      <c r="F32" t="s">
        <v>35</v>
      </c>
      <c r="G32" t="s">
        <v>40</v>
      </c>
      <c r="H32" t="str">
        <f t="shared" si="0"/>
        <v>FUNC</v>
      </c>
      <c r="I32" t="str">
        <f t="shared" si="1"/>
        <v>2763</v>
      </c>
      <c r="J32" t="str">
        <f t="shared" si="2"/>
        <v>2022</v>
      </c>
      <c r="K32" t="str">
        <f t="shared" si="3"/>
        <v>Lucas Costa - Financeiro</v>
      </c>
      <c r="L32" t="str">
        <f t="shared" si="4"/>
        <v>Lucas Costa</v>
      </c>
      <c r="M32" t="str">
        <f t="shared" si="5"/>
        <v>11949861295</v>
      </c>
      <c r="N32" t="str">
        <f t="shared" si="6"/>
        <v>Lucas.Financeiro@empresa.com</v>
      </c>
      <c r="O32" t="str">
        <f t="shared" si="7"/>
        <v>Lucas</v>
      </c>
      <c r="P32" t="str">
        <f t="shared" si="8"/>
        <v>Costa</v>
      </c>
      <c r="Q32" t="str">
        <f t="shared" si="9"/>
        <v>FUNC-2022-2763</v>
      </c>
    </row>
    <row r="33" spans="1:17" x14ac:dyDescent="0.35">
      <c r="A33" t="s">
        <v>106</v>
      </c>
      <c r="B33" t="s">
        <v>65</v>
      </c>
      <c r="C33" t="s">
        <v>107</v>
      </c>
      <c r="D33" t="s">
        <v>67</v>
      </c>
      <c r="E33" t="s">
        <v>18</v>
      </c>
      <c r="F33" t="s">
        <v>59</v>
      </c>
      <c r="G33" t="s">
        <v>68</v>
      </c>
      <c r="H33" t="str">
        <f t="shared" si="0"/>
        <v>FUNC</v>
      </c>
      <c r="I33" t="str">
        <f t="shared" si="1"/>
        <v>3388</v>
      </c>
      <c r="J33" t="str">
        <f t="shared" si="2"/>
        <v>2024</v>
      </c>
      <c r="K33" t="str">
        <f t="shared" si="3"/>
        <v>Mariana Souza - RH</v>
      </c>
      <c r="L33" t="str">
        <f t="shared" si="4"/>
        <v>Mariana Souza</v>
      </c>
      <c r="M33" t="str">
        <f t="shared" si="5"/>
        <v>11948110070</v>
      </c>
      <c r="N33" t="str">
        <f t="shared" si="6"/>
        <v>Mariana.RH@empresa.com</v>
      </c>
      <c r="O33" t="str">
        <f t="shared" si="7"/>
        <v>Mariana</v>
      </c>
      <c r="P33" t="str">
        <f t="shared" si="8"/>
        <v>Souza</v>
      </c>
      <c r="Q33" t="str">
        <f t="shared" si="9"/>
        <v>FUNC-2024-3388</v>
      </c>
    </row>
    <row r="34" spans="1:17" x14ac:dyDescent="0.35">
      <c r="A34" t="s">
        <v>108</v>
      </c>
      <c r="B34" t="s">
        <v>109</v>
      </c>
      <c r="C34" t="s">
        <v>110</v>
      </c>
      <c r="D34" t="s">
        <v>111</v>
      </c>
      <c r="E34" t="s">
        <v>18</v>
      </c>
      <c r="F34" t="s">
        <v>35</v>
      </c>
      <c r="G34" t="s">
        <v>112</v>
      </c>
      <c r="H34" t="str">
        <f t="shared" si="0"/>
        <v>FUNC</v>
      </c>
      <c r="I34" t="str">
        <f t="shared" si="1"/>
        <v>1237</v>
      </c>
      <c r="J34" t="str">
        <f t="shared" si="2"/>
        <v>2024</v>
      </c>
      <c r="K34" t="str">
        <f t="shared" si="3"/>
        <v>Fernanda Almeida - RH</v>
      </c>
      <c r="L34" t="str">
        <f t="shared" si="4"/>
        <v>Fernanda Almeida</v>
      </c>
      <c r="M34" t="str">
        <f t="shared" si="5"/>
        <v>11946947849</v>
      </c>
      <c r="N34" t="str">
        <f t="shared" si="6"/>
        <v>Fernanda.RH@empresa.com</v>
      </c>
      <c r="O34" t="str">
        <f t="shared" si="7"/>
        <v>Fernanda</v>
      </c>
      <c r="P34" t="str">
        <f t="shared" si="8"/>
        <v>Almeida</v>
      </c>
      <c r="Q34" t="str">
        <f t="shared" si="9"/>
        <v>FUNC-2024-1237</v>
      </c>
    </row>
    <row r="35" spans="1:17" x14ac:dyDescent="0.35">
      <c r="A35" t="s">
        <v>113</v>
      </c>
      <c r="B35" t="s">
        <v>15</v>
      </c>
      <c r="C35" t="s">
        <v>114</v>
      </c>
      <c r="D35" t="s">
        <v>17</v>
      </c>
      <c r="E35" t="s">
        <v>18</v>
      </c>
      <c r="F35" t="s">
        <v>12</v>
      </c>
      <c r="G35" t="s">
        <v>20</v>
      </c>
      <c r="H35" t="str">
        <f t="shared" si="0"/>
        <v>FUNC</v>
      </c>
      <c r="I35" t="str">
        <f t="shared" si="1"/>
        <v>8149</v>
      </c>
      <c r="J35" t="str">
        <f t="shared" si="2"/>
        <v>2021</v>
      </c>
      <c r="K35" t="str">
        <f t="shared" si="3"/>
        <v>Roberto Araujo - RH</v>
      </c>
      <c r="L35" t="str">
        <f t="shared" si="4"/>
        <v>Roberto Araujo</v>
      </c>
      <c r="M35" t="str">
        <f t="shared" si="5"/>
        <v>11984428791</v>
      </c>
      <c r="N35" t="str">
        <f t="shared" si="6"/>
        <v>Roberto.RH@empresa.com</v>
      </c>
      <c r="O35" t="str">
        <f t="shared" si="7"/>
        <v>Roberto</v>
      </c>
      <c r="P35" t="str">
        <f t="shared" si="8"/>
        <v>Araujo</v>
      </c>
      <c r="Q35" t="str">
        <f t="shared" si="9"/>
        <v>FUNC-2021-8149</v>
      </c>
    </row>
    <row r="36" spans="1:17" x14ac:dyDescent="0.35">
      <c r="A36" t="s">
        <v>115</v>
      </c>
      <c r="B36" t="s">
        <v>15</v>
      </c>
      <c r="C36" t="s">
        <v>116</v>
      </c>
      <c r="D36" t="s">
        <v>17</v>
      </c>
      <c r="E36" t="s">
        <v>25</v>
      </c>
      <c r="F36" t="s">
        <v>12</v>
      </c>
      <c r="G36" t="s">
        <v>20</v>
      </c>
      <c r="H36" t="str">
        <f t="shared" si="0"/>
        <v>FUNC</v>
      </c>
      <c r="I36" t="str">
        <f t="shared" si="1"/>
        <v>4645</v>
      </c>
      <c r="J36" t="str">
        <f t="shared" si="2"/>
        <v>2026</v>
      </c>
      <c r="K36" t="str">
        <f t="shared" si="3"/>
        <v>Roberto Araujo - TI</v>
      </c>
      <c r="L36" t="str">
        <f t="shared" si="4"/>
        <v>Roberto Araujo</v>
      </c>
      <c r="M36" t="str">
        <f t="shared" si="5"/>
        <v>11914869562</v>
      </c>
      <c r="N36" t="str">
        <f t="shared" si="6"/>
        <v>Roberto.TI@empresa.com</v>
      </c>
      <c r="O36" t="str">
        <f t="shared" si="7"/>
        <v>Roberto</v>
      </c>
      <c r="P36" t="str">
        <f t="shared" si="8"/>
        <v>Araujo</v>
      </c>
      <c r="Q36" t="str">
        <f t="shared" si="9"/>
        <v>FUNC-2026-4645</v>
      </c>
    </row>
    <row r="37" spans="1:17" x14ac:dyDescent="0.35">
      <c r="A37" t="s">
        <v>117</v>
      </c>
      <c r="B37" t="s">
        <v>29</v>
      </c>
      <c r="C37" t="s">
        <v>118</v>
      </c>
      <c r="D37" t="s">
        <v>31</v>
      </c>
      <c r="E37" t="s">
        <v>11</v>
      </c>
      <c r="F37" t="s">
        <v>35</v>
      </c>
      <c r="G37" t="s">
        <v>32</v>
      </c>
      <c r="H37" t="str">
        <f t="shared" si="0"/>
        <v>FUNC</v>
      </c>
      <c r="I37" t="str">
        <f t="shared" si="1"/>
        <v>1696</v>
      </c>
      <c r="J37" t="str">
        <f t="shared" si="2"/>
        <v>2023</v>
      </c>
      <c r="K37" t="str">
        <f t="shared" si="3"/>
        <v>Ricardo Santos - Marketing</v>
      </c>
      <c r="L37" t="str">
        <f t="shared" si="4"/>
        <v>Ricardo Santos</v>
      </c>
      <c r="M37" t="str">
        <f t="shared" si="5"/>
        <v>11902685533</v>
      </c>
      <c r="N37" t="str">
        <f t="shared" si="6"/>
        <v>Ricardo.Marketing@empresa.com</v>
      </c>
      <c r="O37" t="str">
        <f t="shared" si="7"/>
        <v>Ricardo</v>
      </c>
      <c r="P37" t="str">
        <f t="shared" si="8"/>
        <v>Santos</v>
      </c>
      <c r="Q37" t="str">
        <f t="shared" si="9"/>
        <v>FUNC-2023-1696</v>
      </c>
    </row>
    <row r="38" spans="1:17" x14ac:dyDescent="0.35">
      <c r="A38" t="s">
        <v>119</v>
      </c>
      <c r="B38" t="s">
        <v>29</v>
      </c>
      <c r="C38" t="s">
        <v>120</v>
      </c>
      <c r="D38" t="s">
        <v>31</v>
      </c>
      <c r="E38" t="s">
        <v>18</v>
      </c>
      <c r="F38" t="s">
        <v>26</v>
      </c>
      <c r="G38" t="s">
        <v>32</v>
      </c>
      <c r="H38" t="str">
        <f t="shared" si="0"/>
        <v>FUNC</v>
      </c>
      <c r="I38" t="str">
        <f t="shared" si="1"/>
        <v>9981</v>
      </c>
      <c r="J38" t="str">
        <f t="shared" si="2"/>
        <v>2023</v>
      </c>
      <c r="K38" t="str">
        <f t="shared" si="3"/>
        <v>Ricardo Santos - RH</v>
      </c>
      <c r="L38" t="str">
        <f t="shared" si="4"/>
        <v>Ricardo Santos</v>
      </c>
      <c r="M38" t="str">
        <f t="shared" si="5"/>
        <v>11914823080</v>
      </c>
      <c r="N38" t="str">
        <f t="shared" si="6"/>
        <v>Ricardo.RH@empresa.com</v>
      </c>
      <c r="O38" t="str">
        <f t="shared" si="7"/>
        <v>Ricardo</v>
      </c>
      <c r="P38" t="str">
        <f t="shared" si="8"/>
        <v>Santos</v>
      </c>
      <c r="Q38" t="str">
        <f t="shared" si="9"/>
        <v>FUNC-2023-9981</v>
      </c>
    </row>
    <row r="39" spans="1:17" x14ac:dyDescent="0.35">
      <c r="A39" t="s">
        <v>121</v>
      </c>
      <c r="B39" t="s">
        <v>65</v>
      </c>
      <c r="C39" t="s">
        <v>122</v>
      </c>
      <c r="D39" t="s">
        <v>67</v>
      </c>
      <c r="E39" t="s">
        <v>48</v>
      </c>
      <c r="F39" t="s">
        <v>12</v>
      </c>
      <c r="G39" t="s">
        <v>68</v>
      </c>
      <c r="H39" t="str">
        <f t="shared" si="0"/>
        <v>FUNC</v>
      </c>
      <c r="I39" t="str">
        <f t="shared" si="1"/>
        <v>2542</v>
      </c>
      <c r="J39" t="str">
        <f t="shared" si="2"/>
        <v>2022</v>
      </c>
      <c r="K39" t="str">
        <f t="shared" si="3"/>
        <v>Mariana Souza - Financeiro</v>
      </c>
      <c r="L39" t="str">
        <f t="shared" si="4"/>
        <v>Mariana Souza</v>
      </c>
      <c r="M39" t="str">
        <f t="shared" si="5"/>
        <v>11911824547</v>
      </c>
      <c r="N39" t="str">
        <f t="shared" si="6"/>
        <v>Mariana.Financeiro@empresa.com</v>
      </c>
      <c r="O39" t="str">
        <f t="shared" si="7"/>
        <v>Mariana</v>
      </c>
      <c r="P39" t="str">
        <f t="shared" si="8"/>
        <v>Souza</v>
      </c>
      <c r="Q39" t="str">
        <f t="shared" si="9"/>
        <v>FUNC-2022-2542</v>
      </c>
    </row>
    <row r="40" spans="1:17" x14ac:dyDescent="0.35">
      <c r="A40" t="s">
        <v>123</v>
      </c>
      <c r="B40" t="s">
        <v>22</v>
      </c>
      <c r="C40" t="s">
        <v>124</v>
      </c>
      <c r="D40" t="s">
        <v>24</v>
      </c>
      <c r="E40" t="s">
        <v>11</v>
      </c>
      <c r="F40" t="s">
        <v>35</v>
      </c>
      <c r="G40" t="s">
        <v>27</v>
      </c>
      <c r="H40" t="str">
        <f t="shared" si="0"/>
        <v>FUNC</v>
      </c>
      <c r="I40" t="str">
        <f t="shared" si="1"/>
        <v>6481</v>
      </c>
      <c r="J40" t="str">
        <f t="shared" si="2"/>
        <v>2021</v>
      </c>
      <c r="K40" t="str">
        <f t="shared" si="3"/>
        <v>Ana Silva - Marketing</v>
      </c>
      <c r="L40" t="str">
        <f t="shared" si="4"/>
        <v>Ana Silva</v>
      </c>
      <c r="M40" t="str">
        <f t="shared" si="5"/>
        <v>11949503356</v>
      </c>
      <c r="N40" t="str">
        <f t="shared" si="6"/>
        <v>Ana.Marketing@empresa.com</v>
      </c>
      <c r="O40" t="str">
        <f t="shared" si="7"/>
        <v>Ana</v>
      </c>
      <c r="P40" t="str">
        <f t="shared" si="8"/>
        <v>Silva</v>
      </c>
      <c r="Q40" t="str">
        <f t="shared" si="9"/>
        <v>FUNC-2021-6481</v>
      </c>
    </row>
    <row r="41" spans="1:17" x14ac:dyDescent="0.35">
      <c r="A41" t="s">
        <v>125</v>
      </c>
      <c r="B41" t="s">
        <v>65</v>
      </c>
      <c r="C41" t="s">
        <v>126</v>
      </c>
      <c r="D41" t="s">
        <v>67</v>
      </c>
      <c r="E41" t="s">
        <v>11</v>
      </c>
      <c r="F41" t="s">
        <v>35</v>
      </c>
      <c r="G41" t="s">
        <v>68</v>
      </c>
      <c r="H41" t="str">
        <f t="shared" si="0"/>
        <v>FUNC</v>
      </c>
      <c r="I41" t="str">
        <f t="shared" si="1"/>
        <v>4389</v>
      </c>
      <c r="J41" t="str">
        <f t="shared" si="2"/>
        <v>2021</v>
      </c>
      <c r="K41" t="str">
        <f t="shared" si="3"/>
        <v>Mariana Souza - Marketing</v>
      </c>
      <c r="L41" t="str">
        <f t="shared" si="4"/>
        <v>Mariana Souza</v>
      </c>
      <c r="M41" t="str">
        <f t="shared" si="5"/>
        <v>11951609509</v>
      </c>
      <c r="N41" t="str">
        <f t="shared" si="6"/>
        <v>Mariana.Marketing@empresa.com</v>
      </c>
      <c r="O41" t="str">
        <f t="shared" si="7"/>
        <v>Mariana</v>
      </c>
      <c r="P41" t="str">
        <f t="shared" si="8"/>
        <v>Souza</v>
      </c>
      <c r="Q41" t="str">
        <f t="shared" si="9"/>
        <v>FUNC-2021-4389</v>
      </c>
    </row>
    <row r="42" spans="1:17" x14ac:dyDescent="0.35">
      <c r="A42" t="s">
        <v>127</v>
      </c>
      <c r="B42" t="s">
        <v>81</v>
      </c>
      <c r="C42" t="s">
        <v>128</v>
      </c>
      <c r="D42" t="s">
        <v>83</v>
      </c>
      <c r="E42" t="s">
        <v>25</v>
      </c>
      <c r="F42" t="s">
        <v>12</v>
      </c>
      <c r="G42" t="s">
        <v>84</v>
      </c>
      <c r="H42" t="str">
        <f t="shared" si="0"/>
        <v>FUNC</v>
      </c>
      <c r="I42" t="str">
        <f t="shared" si="1"/>
        <v>4180</v>
      </c>
      <c r="J42" t="str">
        <f t="shared" si="2"/>
        <v>2024</v>
      </c>
      <c r="K42" t="str">
        <f t="shared" si="3"/>
        <v>Pedro Lima - TI</v>
      </c>
      <c r="L42" t="str">
        <f t="shared" si="4"/>
        <v>Pedro Lima</v>
      </c>
      <c r="M42" t="str">
        <f t="shared" si="5"/>
        <v>11992533752</v>
      </c>
      <c r="N42" t="str">
        <f t="shared" si="6"/>
        <v>Pedro.TI@empresa.com</v>
      </c>
      <c r="O42" t="str">
        <f t="shared" si="7"/>
        <v>Pedro</v>
      </c>
      <c r="P42" t="str">
        <f t="shared" si="8"/>
        <v>Lima</v>
      </c>
      <c r="Q42" t="str">
        <f t="shared" si="9"/>
        <v>FUNC-2024-4180</v>
      </c>
    </row>
    <row r="43" spans="1:17" x14ac:dyDescent="0.35">
      <c r="A43" t="s">
        <v>129</v>
      </c>
      <c r="B43" t="s">
        <v>29</v>
      </c>
      <c r="C43" t="s">
        <v>130</v>
      </c>
      <c r="D43" t="s">
        <v>31</v>
      </c>
      <c r="E43" t="s">
        <v>73</v>
      </c>
      <c r="F43" t="s">
        <v>26</v>
      </c>
      <c r="G43" t="s">
        <v>32</v>
      </c>
      <c r="H43" t="str">
        <f t="shared" si="0"/>
        <v>FUNC</v>
      </c>
      <c r="I43" t="str">
        <f t="shared" si="1"/>
        <v>3944</v>
      </c>
      <c r="J43" t="str">
        <f t="shared" si="2"/>
        <v>2021</v>
      </c>
      <c r="K43" t="str">
        <f t="shared" si="3"/>
        <v>Ricardo Santos - Vendas</v>
      </c>
      <c r="L43" t="str">
        <f t="shared" si="4"/>
        <v>Ricardo Santos</v>
      </c>
      <c r="M43" t="str">
        <f t="shared" si="5"/>
        <v>11950920005</v>
      </c>
      <c r="N43" t="str">
        <f t="shared" si="6"/>
        <v>Ricardo.Vendas@empresa.com</v>
      </c>
      <c r="O43" t="str">
        <f t="shared" si="7"/>
        <v>Ricardo</v>
      </c>
      <c r="P43" t="str">
        <f t="shared" si="8"/>
        <v>Santos</v>
      </c>
      <c r="Q43" t="str">
        <f t="shared" si="9"/>
        <v>FUNC-2021-3944</v>
      </c>
    </row>
    <row r="44" spans="1:17" x14ac:dyDescent="0.35">
      <c r="A44" t="s">
        <v>131</v>
      </c>
      <c r="B44" t="s">
        <v>65</v>
      </c>
      <c r="C44" t="s">
        <v>132</v>
      </c>
      <c r="D44" t="s">
        <v>67</v>
      </c>
      <c r="E44" t="s">
        <v>18</v>
      </c>
      <c r="F44" t="s">
        <v>35</v>
      </c>
      <c r="G44" t="s">
        <v>68</v>
      </c>
      <c r="H44" t="str">
        <f t="shared" si="0"/>
        <v>FUNC</v>
      </c>
      <c r="I44" t="str">
        <f t="shared" si="1"/>
        <v>4701</v>
      </c>
      <c r="J44" t="str">
        <f t="shared" si="2"/>
        <v>2024</v>
      </c>
      <c r="K44" t="str">
        <f t="shared" si="3"/>
        <v>Mariana Souza - RH</v>
      </c>
      <c r="L44" t="str">
        <f t="shared" si="4"/>
        <v>Mariana Souza</v>
      </c>
      <c r="M44" t="str">
        <f t="shared" si="5"/>
        <v>11927137699</v>
      </c>
      <c r="N44" t="str">
        <f t="shared" si="6"/>
        <v>Mariana.RH@empresa.com</v>
      </c>
      <c r="O44" t="str">
        <f t="shared" si="7"/>
        <v>Mariana</v>
      </c>
      <c r="P44" t="str">
        <f t="shared" si="8"/>
        <v>Souza</v>
      </c>
      <c r="Q44" t="str">
        <f t="shared" si="9"/>
        <v>FUNC-2024-4701</v>
      </c>
    </row>
    <row r="45" spans="1:17" x14ac:dyDescent="0.35">
      <c r="A45" t="s">
        <v>133</v>
      </c>
      <c r="B45" t="s">
        <v>90</v>
      </c>
      <c r="C45" t="s">
        <v>134</v>
      </c>
      <c r="D45" t="s">
        <v>92</v>
      </c>
      <c r="E45" t="s">
        <v>11</v>
      </c>
      <c r="F45" t="s">
        <v>35</v>
      </c>
      <c r="G45" t="s">
        <v>93</v>
      </c>
      <c r="H45" t="str">
        <f t="shared" si="0"/>
        <v>FUNC</v>
      </c>
      <c r="I45" t="str">
        <f t="shared" si="1"/>
        <v>4644</v>
      </c>
      <c r="J45" t="str">
        <f t="shared" si="2"/>
        <v>2026</v>
      </c>
      <c r="K45" t="str">
        <f t="shared" si="3"/>
        <v>Patricia Mendes - Marketing</v>
      </c>
      <c r="L45" t="str">
        <f t="shared" si="4"/>
        <v>Patricia Mendes</v>
      </c>
      <c r="M45" t="str">
        <f t="shared" si="5"/>
        <v>11915994211</v>
      </c>
      <c r="N45" t="str">
        <f t="shared" si="6"/>
        <v>Patricia.Marketing@empresa.com</v>
      </c>
      <c r="O45" t="str">
        <f t="shared" si="7"/>
        <v>Patricia</v>
      </c>
      <c r="P45" t="str">
        <f t="shared" si="8"/>
        <v>Mendes</v>
      </c>
      <c r="Q45" t="str">
        <f t="shared" si="9"/>
        <v>FUNC-2026-4644</v>
      </c>
    </row>
    <row r="46" spans="1:17" x14ac:dyDescent="0.35">
      <c r="A46" t="s">
        <v>135</v>
      </c>
      <c r="B46" t="s">
        <v>29</v>
      </c>
      <c r="C46" t="s">
        <v>136</v>
      </c>
      <c r="D46" t="s">
        <v>31</v>
      </c>
      <c r="E46" t="s">
        <v>48</v>
      </c>
      <c r="F46" t="s">
        <v>59</v>
      </c>
      <c r="G46" t="s">
        <v>32</v>
      </c>
      <c r="H46" t="str">
        <f t="shared" si="0"/>
        <v>FUNC</v>
      </c>
      <c r="I46" t="str">
        <f t="shared" si="1"/>
        <v>6445</v>
      </c>
      <c r="J46" t="str">
        <f t="shared" si="2"/>
        <v>2026</v>
      </c>
      <c r="K46" t="str">
        <f t="shared" si="3"/>
        <v>Ricardo Santos - Financeiro</v>
      </c>
      <c r="L46" t="str">
        <f t="shared" si="4"/>
        <v>Ricardo Santos</v>
      </c>
      <c r="M46" t="str">
        <f t="shared" si="5"/>
        <v>11912064026</v>
      </c>
      <c r="N46" t="str">
        <f t="shared" si="6"/>
        <v>Ricardo.Financeiro@empresa.com</v>
      </c>
      <c r="O46" t="str">
        <f t="shared" si="7"/>
        <v>Ricardo</v>
      </c>
      <c r="P46" t="str">
        <f t="shared" si="8"/>
        <v>Santos</v>
      </c>
      <c r="Q46" t="str">
        <f t="shared" si="9"/>
        <v>FUNC-2026-6445</v>
      </c>
    </row>
    <row r="47" spans="1:17" x14ac:dyDescent="0.35">
      <c r="A47" t="s">
        <v>137</v>
      </c>
      <c r="B47" t="s">
        <v>109</v>
      </c>
      <c r="C47" t="s">
        <v>138</v>
      </c>
      <c r="D47" t="s">
        <v>111</v>
      </c>
      <c r="E47" t="s">
        <v>18</v>
      </c>
      <c r="F47" t="s">
        <v>19</v>
      </c>
      <c r="G47" t="s">
        <v>112</v>
      </c>
      <c r="H47" t="str">
        <f t="shared" si="0"/>
        <v>FUNC</v>
      </c>
      <c r="I47" t="str">
        <f t="shared" si="1"/>
        <v>2857</v>
      </c>
      <c r="J47" t="str">
        <f t="shared" si="2"/>
        <v>2023</v>
      </c>
      <c r="K47" t="str">
        <f t="shared" si="3"/>
        <v>Fernanda Almeida - RH</v>
      </c>
      <c r="L47" t="str">
        <f t="shared" si="4"/>
        <v>Fernanda Almeida</v>
      </c>
      <c r="M47" t="str">
        <f t="shared" si="5"/>
        <v>11908672841</v>
      </c>
      <c r="N47" t="str">
        <f t="shared" si="6"/>
        <v>Fernanda.RH@empresa.com</v>
      </c>
      <c r="O47" t="str">
        <f t="shared" si="7"/>
        <v>Fernanda</v>
      </c>
      <c r="P47" t="str">
        <f t="shared" si="8"/>
        <v>Almeida</v>
      </c>
      <c r="Q47" t="str">
        <f t="shared" si="9"/>
        <v>FUNC-2023-2857</v>
      </c>
    </row>
    <row r="48" spans="1:17" x14ac:dyDescent="0.35">
      <c r="A48" t="s">
        <v>139</v>
      </c>
      <c r="B48" t="s">
        <v>90</v>
      </c>
      <c r="C48" t="s">
        <v>140</v>
      </c>
      <c r="D48" t="s">
        <v>92</v>
      </c>
      <c r="E48" t="s">
        <v>25</v>
      </c>
      <c r="F48" t="s">
        <v>59</v>
      </c>
      <c r="G48" t="s">
        <v>93</v>
      </c>
      <c r="H48" t="str">
        <f t="shared" si="0"/>
        <v>FUNC</v>
      </c>
      <c r="I48" t="str">
        <f t="shared" si="1"/>
        <v>8234</v>
      </c>
      <c r="J48" t="str">
        <f t="shared" si="2"/>
        <v>2025</v>
      </c>
      <c r="K48" t="str">
        <f t="shared" si="3"/>
        <v>Patricia Mendes - TI</v>
      </c>
      <c r="L48" t="str">
        <f t="shared" si="4"/>
        <v>Patricia Mendes</v>
      </c>
      <c r="M48" t="str">
        <f t="shared" si="5"/>
        <v>11954859151</v>
      </c>
      <c r="N48" t="str">
        <f t="shared" si="6"/>
        <v>Patricia.TI@empresa.com</v>
      </c>
      <c r="O48" t="str">
        <f t="shared" si="7"/>
        <v>Patricia</v>
      </c>
      <c r="P48" t="str">
        <f t="shared" si="8"/>
        <v>Mendes</v>
      </c>
      <c r="Q48" t="str">
        <f t="shared" si="9"/>
        <v>FUNC-2026-8234</v>
      </c>
    </row>
    <row r="49" spans="1:17" x14ac:dyDescent="0.35">
      <c r="A49" t="s">
        <v>141</v>
      </c>
      <c r="B49" t="s">
        <v>29</v>
      </c>
      <c r="C49" t="s">
        <v>142</v>
      </c>
      <c r="D49" t="s">
        <v>31</v>
      </c>
      <c r="E49" t="s">
        <v>11</v>
      </c>
      <c r="F49" t="s">
        <v>26</v>
      </c>
      <c r="G49" t="s">
        <v>32</v>
      </c>
      <c r="H49" t="str">
        <f t="shared" si="0"/>
        <v>FUNC</v>
      </c>
      <c r="I49" t="str">
        <f t="shared" si="1"/>
        <v>8634</v>
      </c>
      <c r="J49" t="str">
        <f t="shared" si="2"/>
        <v>2024</v>
      </c>
      <c r="K49" t="str">
        <f t="shared" si="3"/>
        <v>Ricardo Santos - Marketing</v>
      </c>
      <c r="L49" t="str">
        <f t="shared" si="4"/>
        <v>Ricardo Santos</v>
      </c>
      <c r="M49" t="str">
        <f t="shared" si="5"/>
        <v>11934563779</v>
      </c>
      <c r="N49" t="str">
        <f t="shared" si="6"/>
        <v>Ricardo.Marketing@empresa.com</v>
      </c>
      <c r="O49" t="str">
        <f t="shared" si="7"/>
        <v>Ricardo</v>
      </c>
      <c r="P49" t="str">
        <f t="shared" si="8"/>
        <v>Santos</v>
      </c>
      <c r="Q49" t="str">
        <f t="shared" si="9"/>
        <v>FUNC-2024-8634</v>
      </c>
    </row>
    <row r="50" spans="1:17" x14ac:dyDescent="0.35">
      <c r="A50" t="s">
        <v>143</v>
      </c>
      <c r="B50" t="s">
        <v>8</v>
      </c>
      <c r="C50" t="s">
        <v>144</v>
      </c>
      <c r="D50" t="s">
        <v>10</v>
      </c>
      <c r="E50" t="s">
        <v>18</v>
      </c>
      <c r="F50" t="s">
        <v>19</v>
      </c>
      <c r="G50" t="s">
        <v>13</v>
      </c>
      <c r="H50" t="str">
        <f t="shared" si="0"/>
        <v>FUNC</v>
      </c>
      <c r="I50" t="str">
        <f t="shared" si="1"/>
        <v>4966</v>
      </c>
      <c r="J50" t="str">
        <f t="shared" si="2"/>
        <v>2023</v>
      </c>
      <c r="K50" t="str">
        <f t="shared" si="3"/>
        <v>Carlos Oliveira - RH</v>
      </c>
      <c r="L50" t="str">
        <f t="shared" si="4"/>
        <v>Carlos Oliveira</v>
      </c>
      <c r="M50" t="str">
        <f t="shared" si="5"/>
        <v>11911153430</v>
      </c>
      <c r="N50" t="str">
        <f t="shared" si="6"/>
        <v>Carlos.RH@empresa.com</v>
      </c>
      <c r="O50" t="str">
        <f t="shared" si="7"/>
        <v>Carlos</v>
      </c>
      <c r="P50" t="str">
        <f t="shared" si="8"/>
        <v>Oliveira</v>
      </c>
      <c r="Q50" t="str">
        <f t="shared" si="9"/>
        <v>FUNC-2023-4966</v>
      </c>
    </row>
    <row r="51" spans="1:17" x14ac:dyDescent="0.35">
      <c r="A51" t="s">
        <v>145</v>
      </c>
      <c r="B51" t="s">
        <v>15</v>
      </c>
      <c r="C51" t="s">
        <v>146</v>
      </c>
      <c r="D51" t="s">
        <v>17</v>
      </c>
      <c r="E51" t="s">
        <v>25</v>
      </c>
      <c r="F51" t="s">
        <v>59</v>
      </c>
      <c r="G51" t="s">
        <v>20</v>
      </c>
      <c r="H51" t="str">
        <f t="shared" si="0"/>
        <v>FUNC</v>
      </c>
      <c r="I51" t="str">
        <f t="shared" si="1"/>
        <v>6483</v>
      </c>
      <c r="J51" t="str">
        <f t="shared" si="2"/>
        <v>2026</v>
      </c>
      <c r="K51" t="str">
        <f t="shared" si="3"/>
        <v>Roberto Araujo - TI</v>
      </c>
      <c r="L51" t="str">
        <f t="shared" si="4"/>
        <v>Roberto Araujo</v>
      </c>
      <c r="M51" t="str">
        <f t="shared" si="5"/>
        <v>11969136494</v>
      </c>
      <c r="N51" t="str">
        <f t="shared" si="6"/>
        <v>Roberto.TI@empresa.com</v>
      </c>
      <c r="O51" t="str">
        <f t="shared" si="7"/>
        <v>Roberto</v>
      </c>
      <c r="P51" t="str">
        <f t="shared" si="8"/>
        <v>Araujo</v>
      </c>
      <c r="Q51" t="str">
        <f t="shared" si="9"/>
        <v>FUNC-2026-6483</v>
      </c>
    </row>
    <row r="52" spans="1:17" x14ac:dyDescent="0.35">
      <c r="A52" t="s">
        <v>147</v>
      </c>
      <c r="B52" t="s">
        <v>65</v>
      </c>
      <c r="C52" t="s">
        <v>148</v>
      </c>
      <c r="D52" t="s">
        <v>67</v>
      </c>
      <c r="E52" t="s">
        <v>48</v>
      </c>
      <c r="F52" t="s">
        <v>35</v>
      </c>
      <c r="G52" t="s">
        <v>68</v>
      </c>
      <c r="H52" t="str">
        <f t="shared" si="0"/>
        <v>FUNC</v>
      </c>
      <c r="I52" t="str">
        <f t="shared" si="1"/>
        <v>6881</v>
      </c>
      <c r="J52" t="str">
        <f t="shared" si="2"/>
        <v>2025</v>
      </c>
      <c r="K52" t="str">
        <f t="shared" si="3"/>
        <v>Mariana Souza - Financeiro</v>
      </c>
      <c r="L52" t="str">
        <f t="shared" si="4"/>
        <v>Mariana Souza</v>
      </c>
      <c r="M52" t="str">
        <f t="shared" si="5"/>
        <v>11996375024</v>
      </c>
      <c r="N52" t="str">
        <f t="shared" si="6"/>
        <v>Mariana.Financeiro@empresa.com</v>
      </c>
      <c r="O52" t="str">
        <f t="shared" si="7"/>
        <v>Mariana</v>
      </c>
      <c r="P52" t="str">
        <f t="shared" si="8"/>
        <v>Souza</v>
      </c>
      <c r="Q52" t="str">
        <f t="shared" si="9"/>
        <v>FUNC-2026-6881</v>
      </c>
    </row>
    <row r="53" spans="1:17" x14ac:dyDescent="0.35">
      <c r="A53" t="s">
        <v>149</v>
      </c>
      <c r="B53" t="s">
        <v>42</v>
      </c>
      <c r="C53" t="s">
        <v>150</v>
      </c>
      <c r="D53" t="s">
        <v>44</v>
      </c>
      <c r="E53" t="s">
        <v>73</v>
      </c>
      <c r="F53" t="s">
        <v>35</v>
      </c>
      <c r="G53" t="s">
        <v>45</v>
      </c>
      <c r="H53" t="str">
        <f t="shared" si="0"/>
        <v>FUNC</v>
      </c>
      <c r="I53" t="str">
        <f t="shared" si="1"/>
        <v>3366</v>
      </c>
      <c r="J53" t="str">
        <f t="shared" si="2"/>
        <v>2021</v>
      </c>
      <c r="K53" t="str">
        <f t="shared" si="3"/>
        <v>Julia Ferreira - Vendas</v>
      </c>
      <c r="L53" t="str">
        <f t="shared" si="4"/>
        <v>Julia Ferreira</v>
      </c>
      <c r="M53" t="str">
        <f t="shared" si="5"/>
        <v>11995941687</v>
      </c>
      <c r="N53" t="str">
        <f t="shared" si="6"/>
        <v>Julia.Vendas@empresa.com</v>
      </c>
      <c r="O53" t="str">
        <f t="shared" si="7"/>
        <v>Julia</v>
      </c>
      <c r="P53" t="str">
        <f t="shared" si="8"/>
        <v>Ferreira</v>
      </c>
      <c r="Q53" t="str">
        <f t="shared" si="9"/>
        <v>FUNC-2021-3366</v>
      </c>
    </row>
    <row r="54" spans="1:17" x14ac:dyDescent="0.35">
      <c r="A54" t="s">
        <v>151</v>
      </c>
      <c r="B54" t="s">
        <v>65</v>
      </c>
      <c r="C54" t="s">
        <v>152</v>
      </c>
      <c r="D54" t="s">
        <v>67</v>
      </c>
      <c r="E54" t="s">
        <v>48</v>
      </c>
      <c r="F54" t="s">
        <v>35</v>
      </c>
      <c r="G54" t="s">
        <v>68</v>
      </c>
      <c r="H54" t="str">
        <f t="shared" si="0"/>
        <v>FUNC</v>
      </c>
      <c r="I54" t="str">
        <f t="shared" si="1"/>
        <v>4667</v>
      </c>
      <c r="J54" t="str">
        <f t="shared" si="2"/>
        <v>2022</v>
      </c>
      <c r="K54" t="str">
        <f t="shared" si="3"/>
        <v>Mariana Souza - Financeiro</v>
      </c>
      <c r="L54" t="str">
        <f t="shared" si="4"/>
        <v>Mariana Souza</v>
      </c>
      <c r="M54" t="str">
        <f t="shared" si="5"/>
        <v>11951150312</v>
      </c>
      <c r="N54" t="str">
        <f t="shared" si="6"/>
        <v>Mariana.Financeiro@empresa.com</v>
      </c>
      <c r="O54" t="str">
        <f t="shared" si="7"/>
        <v>Mariana</v>
      </c>
      <c r="P54" t="str">
        <f t="shared" si="8"/>
        <v>Souza</v>
      </c>
      <c r="Q54" t="str">
        <f t="shared" si="9"/>
        <v>FUNC-2022-4667</v>
      </c>
    </row>
    <row r="55" spans="1:17" x14ac:dyDescent="0.35">
      <c r="A55" t="s">
        <v>153</v>
      </c>
      <c r="B55" t="s">
        <v>65</v>
      </c>
      <c r="C55" t="s">
        <v>154</v>
      </c>
      <c r="D55" t="s">
        <v>67</v>
      </c>
      <c r="E55" t="s">
        <v>48</v>
      </c>
      <c r="F55" t="s">
        <v>12</v>
      </c>
      <c r="G55" t="s">
        <v>68</v>
      </c>
      <c r="H55" t="str">
        <f t="shared" si="0"/>
        <v>FUNC</v>
      </c>
      <c r="I55" t="str">
        <f t="shared" si="1"/>
        <v>1814</v>
      </c>
      <c r="J55" t="str">
        <f t="shared" si="2"/>
        <v>2023</v>
      </c>
      <c r="K55" t="str">
        <f t="shared" si="3"/>
        <v>Mariana Souza - Financeiro</v>
      </c>
      <c r="L55" t="str">
        <f t="shared" si="4"/>
        <v>Mariana Souza</v>
      </c>
      <c r="M55" t="str">
        <f t="shared" si="5"/>
        <v>11990924095</v>
      </c>
      <c r="N55" t="str">
        <f t="shared" si="6"/>
        <v>Mariana.Financeiro@empresa.com</v>
      </c>
      <c r="O55" t="str">
        <f t="shared" si="7"/>
        <v>Mariana</v>
      </c>
      <c r="P55" t="str">
        <f t="shared" si="8"/>
        <v>Souza</v>
      </c>
      <c r="Q55" t="str">
        <f t="shared" si="9"/>
        <v>FUNC-2023-1814</v>
      </c>
    </row>
    <row r="56" spans="1:17" x14ac:dyDescent="0.35">
      <c r="A56" t="s">
        <v>155</v>
      </c>
      <c r="B56" t="s">
        <v>8</v>
      </c>
      <c r="C56" t="s">
        <v>156</v>
      </c>
      <c r="D56" t="s">
        <v>10</v>
      </c>
      <c r="E56" t="s">
        <v>73</v>
      </c>
      <c r="F56" t="s">
        <v>35</v>
      </c>
      <c r="G56" t="s">
        <v>13</v>
      </c>
      <c r="H56" t="str">
        <f t="shared" si="0"/>
        <v>FUNC</v>
      </c>
      <c r="I56" t="str">
        <f t="shared" si="1"/>
        <v>7254</v>
      </c>
      <c r="J56" t="str">
        <f t="shared" si="2"/>
        <v>2025</v>
      </c>
      <c r="K56" t="str">
        <f t="shared" si="3"/>
        <v>Carlos Oliveira - Vendas</v>
      </c>
      <c r="L56" t="str">
        <f t="shared" si="4"/>
        <v>Carlos Oliveira</v>
      </c>
      <c r="M56" t="str">
        <f t="shared" si="5"/>
        <v>11978666215</v>
      </c>
      <c r="N56" t="str">
        <f t="shared" si="6"/>
        <v>Carlos.Vendas@empresa.com</v>
      </c>
      <c r="O56" t="str">
        <f t="shared" si="7"/>
        <v>Carlos</v>
      </c>
      <c r="P56" t="str">
        <f t="shared" si="8"/>
        <v>Oliveira</v>
      </c>
      <c r="Q56" t="str">
        <f t="shared" si="9"/>
        <v>FUNC-2026-7254</v>
      </c>
    </row>
    <row r="57" spans="1:17" x14ac:dyDescent="0.35">
      <c r="A57" t="s">
        <v>157</v>
      </c>
      <c r="B57" t="s">
        <v>29</v>
      </c>
      <c r="C57" t="s">
        <v>158</v>
      </c>
      <c r="D57" t="s">
        <v>31</v>
      </c>
      <c r="E57" t="s">
        <v>73</v>
      </c>
      <c r="F57" t="s">
        <v>59</v>
      </c>
      <c r="G57" t="s">
        <v>32</v>
      </c>
      <c r="H57" t="str">
        <f t="shared" si="0"/>
        <v>FUNC</v>
      </c>
      <c r="I57" t="str">
        <f t="shared" si="1"/>
        <v>6504</v>
      </c>
      <c r="J57" t="str">
        <f t="shared" si="2"/>
        <v>2024</v>
      </c>
      <c r="K57" t="str">
        <f t="shared" si="3"/>
        <v>Ricardo Santos - Vendas</v>
      </c>
      <c r="L57" t="str">
        <f t="shared" si="4"/>
        <v>Ricardo Santos</v>
      </c>
      <c r="M57" t="str">
        <f t="shared" si="5"/>
        <v>11948288631</v>
      </c>
      <c r="N57" t="str">
        <f t="shared" si="6"/>
        <v>Ricardo.Vendas@empresa.com</v>
      </c>
      <c r="O57" t="str">
        <f t="shared" si="7"/>
        <v>Ricardo</v>
      </c>
      <c r="P57" t="str">
        <f t="shared" si="8"/>
        <v>Santos</v>
      </c>
      <c r="Q57" t="str">
        <f t="shared" si="9"/>
        <v>FUNC-2024-6504</v>
      </c>
    </row>
    <row r="58" spans="1:17" x14ac:dyDescent="0.35">
      <c r="A58" t="s">
        <v>159</v>
      </c>
      <c r="B58" t="s">
        <v>42</v>
      </c>
      <c r="C58" t="s">
        <v>160</v>
      </c>
      <c r="D58" t="s">
        <v>44</v>
      </c>
      <c r="E58" t="s">
        <v>18</v>
      </c>
      <c r="F58" t="s">
        <v>26</v>
      </c>
      <c r="G58" t="s">
        <v>45</v>
      </c>
      <c r="H58" t="str">
        <f t="shared" si="0"/>
        <v>FUNC</v>
      </c>
      <c r="I58" t="str">
        <f t="shared" si="1"/>
        <v>4206</v>
      </c>
      <c r="J58" t="str">
        <f t="shared" si="2"/>
        <v>2021</v>
      </c>
      <c r="K58" t="str">
        <f t="shared" si="3"/>
        <v>Julia Ferreira - RH</v>
      </c>
      <c r="L58" t="str">
        <f t="shared" si="4"/>
        <v>Julia Ferreira</v>
      </c>
      <c r="M58" t="str">
        <f t="shared" si="5"/>
        <v>11912439880</v>
      </c>
      <c r="N58" t="str">
        <f t="shared" si="6"/>
        <v>Julia.RH@empresa.com</v>
      </c>
      <c r="O58" t="str">
        <f t="shared" si="7"/>
        <v>Julia</v>
      </c>
      <c r="P58" t="str">
        <f t="shared" si="8"/>
        <v>Ferreira</v>
      </c>
      <c r="Q58" t="str">
        <f t="shared" si="9"/>
        <v>FUNC-2021-4206</v>
      </c>
    </row>
    <row r="59" spans="1:17" x14ac:dyDescent="0.35">
      <c r="A59" t="s">
        <v>161</v>
      </c>
      <c r="B59" t="s">
        <v>81</v>
      </c>
      <c r="C59" t="s">
        <v>162</v>
      </c>
      <c r="D59" t="s">
        <v>83</v>
      </c>
      <c r="E59" t="s">
        <v>11</v>
      </c>
      <c r="F59" t="s">
        <v>59</v>
      </c>
      <c r="G59" t="s">
        <v>84</v>
      </c>
      <c r="H59" t="str">
        <f t="shared" si="0"/>
        <v>FUNC</v>
      </c>
      <c r="I59" t="str">
        <f t="shared" si="1"/>
        <v>8272</v>
      </c>
      <c r="J59" t="str">
        <f t="shared" si="2"/>
        <v>2026</v>
      </c>
      <c r="K59" t="str">
        <f t="shared" si="3"/>
        <v>Pedro Lima - Marketing</v>
      </c>
      <c r="L59" t="str">
        <f t="shared" si="4"/>
        <v>Pedro Lima</v>
      </c>
      <c r="M59" t="str">
        <f t="shared" si="5"/>
        <v>11948997314</v>
      </c>
      <c r="N59" t="str">
        <f t="shared" si="6"/>
        <v>Pedro.Marketing@empresa.com</v>
      </c>
      <c r="O59" t="str">
        <f t="shared" si="7"/>
        <v>Pedro</v>
      </c>
      <c r="P59" t="str">
        <f t="shared" si="8"/>
        <v>Lima</v>
      </c>
      <c r="Q59" t="str">
        <f t="shared" si="9"/>
        <v>FUNC-2026-8272</v>
      </c>
    </row>
    <row r="60" spans="1:17" x14ac:dyDescent="0.35">
      <c r="A60" t="s">
        <v>163</v>
      </c>
      <c r="B60" t="s">
        <v>90</v>
      </c>
      <c r="C60" t="s">
        <v>164</v>
      </c>
      <c r="D60" t="s">
        <v>92</v>
      </c>
      <c r="E60" t="s">
        <v>73</v>
      </c>
      <c r="F60" t="s">
        <v>19</v>
      </c>
      <c r="G60" t="s">
        <v>93</v>
      </c>
      <c r="H60" t="str">
        <f t="shared" si="0"/>
        <v>FUNC</v>
      </c>
      <c r="I60" t="str">
        <f t="shared" si="1"/>
        <v>1091</v>
      </c>
      <c r="J60" t="str">
        <f t="shared" si="2"/>
        <v>2021</v>
      </c>
      <c r="K60" t="str">
        <f t="shared" si="3"/>
        <v>Patricia Mendes - Vendas</v>
      </c>
      <c r="L60" t="str">
        <f t="shared" si="4"/>
        <v>Patricia Mendes</v>
      </c>
      <c r="M60" t="str">
        <f t="shared" si="5"/>
        <v>11939339531</v>
      </c>
      <c r="N60" t="str">
        <f t="shared" si="6"/>
        <v>Patricia.Vendas@empresa.com</v>
      </c>
      <c r="O60" t="str">
        <f t="shared" si="7"/>
        <v>Patricia</v>
      </c>
      <c r="P60" t="str">
        <f t="shared" si="8"/>
        <v>Mendes</v>
      </c>
      <c r="Q60" t="str">
        <f t="shared" si="9"/>
        <v>FUNC-2021-1091</v>
      </c>
    </row>
    <row r="61" spans="1:17" x14ac:dyDescent="0.35">
      <c r="A61" t="s">
        <v>165</v>
      </c>
      <c r="B61" t="s">
        <v>42</v>
      </c>
      <c r="C61" t="s">
        <v>166</v>
      </c>
      <c r="D61" t="s">
        <v>44</v>
      </c>
      <c r="E61" t="s">
        <v>73</v>
      </c>
      <c r="F61" t="s">
        <v>19</v>
      </c>
      <c r="G61" t="s">
        <v>45</v>
      </c>
      <c r="H61" t="str">
        <f t="shared" si="0"/>
        <v>FUNC</v>
      </c>
      <c r="I61" t="str">
        <f t="shared" si="1"/>
        <v>9097</v>
      </c>
      <c r="J61" t="str">
        <f t="shared" si="2"/>
        <v>2026</v>
      </c>
      <c r="K61" t="str">
        <f t="shared" si="3"/>
        <v>Julia Ferreira - Vendas</v>
      </c>
      <c r="L61" t="str">
        <f t="shared" si="4"/>
        <v>Julia Ferreira</v>
      </c>
      <c r="M61" t="str">
        <f t="shared" si="5"/>
        <v>11996334027</v>
      </c>
      <c r="N61" t="str">
        <f t="shared" si="6"/>
        <v>Julia.Vendas@empresa.com</v>
      </c>
      <c r="O61" t="str">
        <f t="shared" si="7"/>
        <v>Julia</v>
      </c>
      <c r="P61" t="str">
        <f t="shared" si="8"/>
        <v>Ferreira</v>
      </c>
      <c r="Q61" t="str">
        <f t="shared" si="9"/>
        <v>FUNC-2026-9097</v>
      </c>
    </row>
    <row r="62" spans="1:17" x14ac:dyDescent="0.35">
      <c r="A62" t="s">
        <v>167</v>
      </c>
      <c r="B62" t="s">
        <v>29</v>
      </c>
      <c r="C62" t="s">
        <v>168</v>
      </c>
      <c r="D62" t="s">
        <v>31</v>
      </c>
      <c r="E62" t="s">
        <v>18</v>
      </c>
      <c r="F62" t="s">
        <v>26</v>
      </c>
      <c r="G62" t="s">
        <v>32</v>
      </c>
      <c r="H62" t="str">
        <f t="shared" si="0"/>
        <v>FUNC</v>
      </c>
      <c r="I62" t="str">
        <f t="shared" si="1"/>
        <v>3257</v>
      </c>
      <c r="J62" t="str">
        <f t="shared" si="2"/>
        <v>2024</v>
      </c>
      <c r="K62" t="str">
        <f t="shared" si="3"/>
        <v>Ricardo Santos - RH</v>
      </c>
      <c r="L62" t="str">
        <f t="shared" si="4"/>
        <v>Ricardo Santos</v>
      </c>
      <c r="M62" t="str">
        <f t="shared" si="5"/>
        <v>11984775631</v>
      </c>
      <c r="N62" t="str">
        <f t="shared" si="6"/>
        <v>Ricardo.RH@empresa.com</v>
      </c>
      <c r="O62" t="str">
        <f t="shared" si="7"/>
        <v>Ricardo</v>
      </c>
      <c r="P62" t="str">
        <f t="shared" si="8"/>
        <v>Santos</v>
      </c>
      <c r="Q62" t="str">
        <f t="shared" si="9"/>
        <v>FUNC-2024-3257</v>
      </c>
    </row>
    <row r="63" spans="1:17" x14ac:dyDescent="0.35">
      <c r="A63" t="s">
        <v>169</v>
      </c>
      <c r="B63" t="s">
        <v>109</v>
      </c>
      <c r="C63" t="s">
        <v>170</v>
      </c>
      <c r="D63" t="s">
        <v>111</v>
      </c>
      <c r="E63" t="s">
        <v>25</v>
      </c>
      <c r="F63" t="s">
        <v>35</v>
      </c>
      <c r="G63" t="s">
        <v>112</v>
      </c>
      <c r="H63" t="str">
        <f t="shared" si="0"/>
        <v>FUNC</v>
      </c>
      <c r="I63" t="str">
        <f t="shared" si="1"/>
        <v>4333</v>
      </c>
      <c r="J63" t="str">
        <f t="shared" si="2"/>
        <v>2024</v>
      </c>
      <c r="K63" t="str">
        <f t="shared" si="3"/>
        <v>Fernanda Almeida - TI</v>
      </c>
      <c r="L63" t="str">
        <f t="shared" si="4"/>
        <v>Fernanda Almeida</v>
      </c>
      <c r="M63" t="str">
        <f t="shared" si="5"/>
        <v>11911915062</v>
      </c>
      <c r="N63" t="str">
        <f t="shared" si="6"/>
        <v>Fernanda.TI@empresa.com</v>
      </c>
      <c r="O63" t="str">
        <f t="shared" si="7"/>
        <v>Fernanda</v>
      </c>
      <c r="P63" t="str">
        <f t="shared" si="8"/>
        <v>Almeida</v>
      </c>
      <c r="Q63" t="str">
        <f t="shared" si="9"/>
        <v>FUNC-2024-4333</v>
      </c>
    </row>
    <row r="64" spans="1:17" x14ac:dyDescent="0.35">
      <c r="A64" t="s">
        <v>171</v>
      </c>
      <c r="B64" t="s">
        <v>37</v>
      </c>
      <c r="C64" t="s">
        <v>172</v>
      </c>
      <c r="D64" t="s">
        <v>39</v>
      </c>
      <c r="E64" t="s">
        <v>11</v>
      </c>
      <c r="F64" t="s">
        <v>26</v>
      </c>
      <c r="G64" t="s">
        <v>40</v>
      </c>
      <c r="H64" t="str">
        <f t="shared" si="0"/>
        <v>FUNC</v>
      </c>
      <c r="I64" t="str">
        <f t="shared" si="1"/>
        <v>9941</v>
      </c>
      <c r="J64" t="str">
        <f t="shared" si="2"/>
        <v>2026</v>
      </c>
      <c r="K64" t="str">
        <f t="shared" si="3"/>
        <v>Lucas Costa - Marketing</v>
      </c>
      <c r="L64" t="str">
        <f t="shared" si="4"/>
        <v>Lucas Costa</v>
      </c>
      <c r="M64" t="str">
        <f t="shared" si="5"/>
        <v>11970771142</v>
      </c>
      <c r="N64" t="str">
        <f t="shared" si="6"/>
        <v>Lucas.Marketing@empresa.com</v>
      </c>
      <c r="O64" t="str">
        <f t="shared" si="7"/>
        <v>Lucas</v>
      </c>
      <c r="P64" t="str">
        <f t="shared" si="8"/>
        <v>Costa</v>
      </c>
      <c r="Q64" t="str">
        <f t="shared" si="9"/>
        <v>FUNC-2026-9941</v>
      </c>
    </row>
    <row r="65" spans="1:17" x14ac:dyDescent="0.35">
      <c r="A65" t="s">
        <v>173</v>
      </c>
      <c r="B65" t="s">
        <v>15</v>
      </c>
      <c r="C65" t="s">
        <v>174</v>
      </c>
      <c r="D65" t="s">
        <v>17</v>
      </c>
      <c r="E65" t="s">
        <v>18</v>
      </c>
      <c r="F65" t="s">
        <v>59</v>
      </c>
      <c r="G65" t="s">
        <v>20</v>
      </c>
      <c r="H65" t="str">
        <f t="shared" si="0"/>
        <v>FUNC</v>
      </c>
      <c r="I65" t="str">
        <f t="shared" si="1"/>
        <v>9631</v>
      </c>
      <c r="J65" t="str">
        <f t="shared" si="2"/>
        <v>2025</v>
      </c>
      <c r="K65" t="str">
        <f t="shared" si="3"/>
        <v>Roberto Araujo - RH</v>
      </c>
      <c r="L65" t="str">
        <f t="shared" si="4"/>
        <v>Roberto Araujo</v>
      </c>
      <c r="M65" t="str">
        <f t="shared" si="5"/>
        <v>11931061543</v>
      </c>
      <c r="N65" t="str">
        <f t="shared" si="6"/>
        <v>Roberto.RH@empresa.com</v>
      </c>
      <c r="O65" t="str">
        <f t="shared" si="7"/>
        <v>Roberto</v>
      </c>
      <c r="P65" t="str">
        <f t="shared" si="8"/>
        <v>Araujo</v>
      </c>
      <c r="Q65" t="str">
        <f t="shared" si="9"/>
        <v>FUNC-2026-9631</v>
      </c>
    </row>
    <row r="66" spans="1:17" x14ac:dyDescent="0.35">
      <c r="A66" t="s">
        <v>175</v>
      </c>
      <c r="B66" t="s">
        <v>65</v>
      </c>
      <c r="C66" t="s">
        <v>176</v>
      </c>
      <c r="D66" t="s">
        <v>67</v>
      </c>
      <c r="E66" t="s">
        <v>48</v>
      </c>
      <c r="F66" t="s">
        <v>59</v>
      </c>
      <c r="G66" t="s">
        <v>68</v>
      </c>
      <c r="H66" t="str">
        <f t="shared" si="0"/>
        <v>FUNC</v>
      </c>
      <c r="I66" t="str">
        <f t="shared" si="1"/>
        <v>2990</v>
      </c>
      <c r="J66" t="str">
        <f t="shared" si="2"/>
        <v>2021</v>
      </c>
      <c r="K66" t="str">
        <f t="shared" si="3"/>
        <v>Mariana Souza - Financeiro</v>
      </c>
      <c r="L66" t="str">
        <f t="shared" si="4"/>
        <v>Mariana Souza</v>
      </c>
      <c r="M66" t="str">
        <f t="shared" si="5"/>
        <v>11906913569</v>
      </c>
      <c r="N66" t="str">
        <f t="shared" si="6"/>
        <v>Mariana.Financeiro@empresa.com</v>
      </c>
      <c r="O66" t="str">
        <f t="shared" si="7"/>
        <v>Mariana</v>
      </c>
      <c r="P66" t="str">
        <f t="shared" si="8"/>
        <v>Souza</v>
      </c>
      <c r="Q66" t="str">
        <f t="shared" si="9"/>
        <v>FUNC-2021-2990</v>
      </c>
    </row>
    <row r="67" spans="1:17" x14ac:dyDescent="0.35">
      <c r="A67" t="s">
        <v>177</v>
      </c>
      <c r="B67" t="s">
        <v>22</v>
      </c>
      <c r="C67" t="s">
        <v>178</v>
      </c>
      <c r="D67" t="s">
        <v>24</v>
      </c>
      <c r="E67" t="s">
        <v>48</v>
      </c>
      <c r="F67" t="s">
        <v>26</v>
      </c>
      <c r="G67" t="s">
        <v>27</v>
      </c>
      <c r="H67" t="str">
        <f t="shared" ref="H67:H101" si="10">LEFT(A67,4)</f>
        <v>FUNC</v>
      </c>
      <c r="I67" t="str">
        <f t="shared" ref="I67:I101" si="11">RIGHT(A67,4)</f>
        <v>3226</v>
      </c>
      <c r="J67" t="str">
        <f t="shared" ref="J67:J101" si="12">MID(A67,6,4)</f>
        <v>2025</v>
      </c>
      <c r="K67" t="str">
        <f t="shared" ref="K67:K101" si="13">CONCATENATE(B67," - ",E67)</f>
        <v>Ana Silva - Financeiro</v>
      </c>
      <c r="L67" t="str">
        <f t="shared" ref="L67:L101" si="14">TRIM(G67)</f>
        <v>Ana Silva</v>
      </c>
      <c r="M67" t="str">
        <f t="shared" ref="M67:M101" si="15">SUBSTITUTE(C67,"19","11")</f>
        <v>11907989074</v>
      </c>
      <c r="N67" t="str">
        <f t="shared" ref="N67:N101" si="16">CONCATENATE(LEFT(B67,FIND(" ",B67)-1),".",E67,"@empresa.com")</f>
        <v>Ana.Financeiro@empresa.com</v>
      </c>
      <c r="O67" t="str">
        <f t="shared" ref="O67:O101" si="17">LEFT(B67,FIND(" ",B67)-1)</f>
        <v>Ana</v>
      </c>
      <c r="P67" t="str">
        <f t="shared" ref="P67:P101" si="18">RIGHT(B67,LEN(B67)-FIND(" ",B67))</f>
        <v>Silva</v>
      </c>
      <c r="Q67" t="str">
        <f t="shared" ref="Q67:Q101" si="19">SUBSTITUTE(A67,"2025","2026")</f>
        <v>FUNC-2026-3226</v>
      </c>
    </row>
    <row r="68" spans="1:17" x14ac:dyDescent="0.35">
      <c r="A68" t="s">
        <v>179</v>
      </c>
      <c r="B68" t="s">
        <v>29</v>
      </c>
      <c r="C68" t="s">
        <v>180</v>
      </c>
      <c r="D68" t="s">
        <v>31</v>
      </c>
      <c r="E68" t="s">
        <v>18</v>
      </c>
      <c r="F68" t="s">
        <v>59</v>
      </c>
      <c r="G68" t="s">
        <v>32</v>
      </c>
      <c r="H68" t="str">
        <f t="shared" si="10"/>
        <v>FUNC</v>
      </c>
      <c r="I68" t="str">
        <f t="shared" si="11"/>
        <v>8391</v>
      </c>
      <c r="J68" t="str">
        <f t="shared" si="12"/>
        <v>2024</v>
      </c>
      <c r="K68" t="str">
        <f t="shared" si="13"/>
        <v>Ricardo Santos - RH</v>
      </c>
      <c r="L68" t="str">
        <f t="shared" si="14"/>
        <v>Ricardo Santos</v>
      </c>
      <c r="M68" t="str">
        <f t="shared" si="15"/>
        <v>11904397235</v>
      </c>
      <c r="N68" t="str">
        <f t="shared" si="16"/>
        <v>Ricardo.RH@empresa.com</v>
      </c>
      <c r="O68" t="str">
        <f t="shared" si="17"/>
        <v>Ricardo</v>
      </c>
      <c r="P68" t="str">
        <f t="shared" si="18"/>
        <v>Santos</v>
      </c>
      <c r="Q68" t="str">
        <f t="shared" si="19"/>
        <v>FUNC-2024-8391</v>
      </c>
    </row>
    <row r="69" spans="1:17" x14ac:dyDescent="0.35">
      <c r="A69" t="s">
        <v>181</v>
      </c>
      <c r="B69" t="s">
        <v>81</v>
      </c>
      <c r="C69" t="s">
        <v>182</v>
      </c>
      <c r="D69" t="s">
        <v>83</v>
      </c>
      <c r="E69" t="s">
        <v>18</v>
      </c>
      <c r="F69" t="s">
        <v>19</v>
      </c>
      <c r="G69" t="s">
        <v>84</v>
      </c>
      <c r="H69" t="str">
        <f t="shared" si="10"/>
        <v>FUNC</v>
      </c>
      <c r="I69" t="str">
        <f t="shared" si="11"/>
        <v>4185</v>
      </c>
      <c r="J69" t="str">
        <f t="shared" si="12"/>
        <v>2024</v>
      </c>
      <c r="K69" t="str">
        <f t="shared" si="13"/>
        <v>Pedro Lima - RH</v>
      </c>
      <c r="L69" t="str">
        <f t="shared" si="14"/>
        <v>Pedro Lima</v>
      </c>
      <c r="M69" t="str">
        <f t="shared" si="15"/>
        <v>11953721228</v>
      </c>
      <c r="N69" t="str">
        <f t="shared" si="16"/>
        <v>Pedro.RH@empresa.com</v>
      </c>
      <c r="O69" t="str">
        <f t="shared" si="17"/>
        <v>Pedro</v>
      </c>
      <c r="P69" t="str">
        <f t="shared" si="18"/>
        <v>Lima</v>
      </c>
      <c r="Q69" t="str">
        <f t="shared" si="19"/>
        <v>FUNC-2024-4185</v>
      </c>
    </row>
    <row r="70" spans="1:17" x14ac:dyDescent="0.35">
      <c r="A70" t="s">
        <v>183</v>
      </c>
      <c r="B70" t="s">
        <v>81</v>
      </c>
      <c r="C70" t="s">
        <v>184</v>
      </c>
      <c r="D70" t="s">
        <v>83</v>
      </c>
      <c r="E70" t="s">
        <v>25</v>
      </c>
      <c r="F70" t="s">
        <v>19</v>
      </c>
      <c r="G70" t="s">
        <v>84</v>
      </c>
      <c r="H70" t="str">
        <f t="shared" si="10"/>
        <v>FUNC</v>
      </c>
      <c r="I70" t="str">
        <f t="shared" si="11"/>
        <v>6099</v>
      </c>
      <c r="J70" t="str">
        <f t="shared" si="12"/>
        <v>2026</v>
      </c>
      <c r="K70" t="str">
        <f t="shared" si="13"/>
        <v>Pedro Lima - TI</v>
      </c>
      <c r="L70" t="str">
        <f t="shared" si="14"/>
        <v>Pedro Lima</v>
      </c>
      <c r="M70" t="str">
        <f t="shared" si="15"/>
        <v>11908756766</v>
      </c>
      <c r="N70" t="str">
        <f t="shared" si="16"/>
        <v>Pedro.TI@empresa.com</v>
      </c>
      <c r="O70" t="str">
        <f t="shared" si="17"/>
        <v>Pedro</v>
      </c>
      <c r="P70" t="str">
        <f t="shared" si="18"/>
        <v>Lima</v>
      </c>
      <c r="Q70" t="str">
        <f t="shared" si="19"/>
        <v>FUNC-2026-6099</v>
      </c>
    </row>
    <row r="71" spans="1:17" x14ac:dyDescent="0.35">
      <c r="A71" t="s">
        <v>185</v>
      </c>
      <c r="B71" t="s">
        <v>37</v>
      </c>
      <c r="C71" t="s">
        <v>186</v>
      </c>
      <c r="D71" t="s">
        <v>39</v>
      </c>
      <c r="E71" t="s">
        <v>73</v>
      </c>
      <c r="F71" t="s">
        <v>59</v>
      </c>
      <c r="G71" t="s">
        <v>40</v>
      </c>
      <c r="H71" t="str">
        <f t="shared" si="10"/>
        <v>FUNC</v>
      </c>
      <c r="I71" t="str">
        <f t="shared" si="11"/>
        <v>3938</v>
      </c>
      <c r="J71" t="str">
        <f t="shared" si="12"/>
        <v>2024</v>
      </c>
      <c r="K71" t="str">
        <f t="shared" si="13"/>
        <v>Lucas Costa - Vendas</v>
      </c>
      <c r="L71" t="str">
        <f t="shared" si="14"/>
        <v>Lucas Costa</v>
      </c>
      <c r="M71" t="str">
        <f t="shared" si="15"/>
        <v>11945564516</v>
      </c>
      <c r="N71" t="str">
        <f t="shared" si="16"/>
        <v>Lucas.Vendas@empresa.com</v>
      </c>
      <c r="O71" t="str">
        <f t="shared" si="17"/>
        <v>Lucas</v>
      </c>
      <c r="P71" t="str">
        <f t="shared" si="18"/>
        <v>Costa</v>
      </c>
      <c r="Q71" t="str">
        <f t="shared" si="19"/>
        <v>FUNC-2024-3938</v>
      </c>
    </row>
    <row r="72" spans="1:17" x14ac:dyDescent="0.35">
      <c r="A72" t="s">
        <v>187</v>
      </c>
      <c r="B72" t="s">
        <v>15</v>
      </c>
      <c r="C72" t="s">
        <v>188</v>
      </c>
      <c r="D72" t="s">
        <v>17</v>
      </c>
      <c r="E72" t="s">
        <v>18</v>
      </c>
      <c r="F72" t="s">
        <v>59</v>
      </c>
      <c r="G72" t="s">
        <v>20</v>
      </c>
      <c r="H72" t="str">
        <f t="shared" si="10"/>
        <v>FUNC</v>
      </c>
      <c r="I72" t="str">
        <f t="shared" si="11"/>
        <v>7327</v>
      </c>
      <c r="J72" t="str">
        <f t="shared" si="12"/>
        <v>2024</v>
      </c>
      <c r="K72" t="str">
        <f t="shared" si="13"/>
        <v>Roberto Araujo - RH</v>
      </c>
      <c r="L72" t="str">
        <f t="shared" si="14"/>
        <v>Roberto Araujo</v>
      </c>
      <c r="M72" t="str">
        <f t="shared" si="15"/>
        <v>11911271357</v>
      </c>
      <c r="N72" t="str">
        <f t="shared" si="16"/>
        <v>Roberto.RH@empresa.com</v>
      </c>
      <c r="O72" t="str">
        <f t="shared" si="17"/>
        <v>Roberto</v>
      </c>
      <c r="P72" t="str">
        <f t="shared" si="18"/>
        <v>Araujo</v>
      </c>
      <c r="Q72" t="str">
        <f t="shared" si="19"/>
        <v>FUNC-2024-7327</v>
      </c>
    </row>
    <row r="73" spans="1:17" x14ac:dyDescent="0.35">
      <c r="A73" t="s">
        <v>189</v>
      </c>
      <c r="B73" t="s">
        <v>8</v>
      </c>
      <c r="C73" t="s">
        <v>190</v>
      </c>
      <c r="D73" t="s">
        <v>10</v>
      </c>
      <c r="E73" t="s">
        <v>25</v>
      </c>
      <c r="F73" t="s">
        <v>19</v>
      </c>
      <c r="G73" t="s">
        <v>13</v>
      </c>
      <c r="H73" t="str">
        <f t="shared" si="10"/>
        <v>FUNC</v>
      </c>
      <c r="I73" t="str">
        <f t="shared" si="11"/>
        <v>9643</v>
      </c>
      <c r="J73" t="str">
        <f t="shared" si="12"/>
        <v>2022</v>
      </c>
      <c r="K73" t="str">
        <f t="shared" si="13"/>
        <v>Carlos Oliveira - TI</v>
      </c>
      <c r="L73" t="str">
        <f t="shared" si="14"/>
        <v>Carlos Oliveira</v>
      </c>
      <c r="M73" t="str">
        <f t="shared" si="15"/>
        <v>11922848959</v>
      </c>
      <c r="N73" t="str">
        <f t="shared" si="16"/>
        <v>Carlos.TI@empresa.com</v>
      </c>
      <c r="O73" t="str">
        <f t="shared" si="17"/>
        <v>Carlos</v>
      </c>
      <c r="P73" t="str">
        <f t="shared" si="18"/>
        <v>Oliveira</v>
      </c>
      <c r="Q73" t="str">
        <f t="shared" si="19"/>
        <v>FUNC-2022-9643</v>
      </c>
    </row>
    <row r="74" spans="1:17" x14ac:dyDescent="0.35">
      <c r="A74" t="s">
        <v>191</v>
      </c>
      <c r="B74" t="s">
        <v>65</v>
      </c>
      <c r="C74" t="s">
        <v>192</v>
      </c>
      <c r="D74" t="s">
        <v>67</v>
      </c>
      <c r="E74" t="s">
        <v>48</v>
      </c>
      <c r="F74" t="s">
        <v>35</v>
      </c>
      <c r="G74" t="s">
        <v>68</v>
      </c>
      <c r="H74" t="str">
        <f t="shared" si="10"/>
        <v>FUNC</v>
      </c>
      <c r="I74" t="str">
        <f t="shared" si="11"/>
        <v>1966</v>
      </c>
      <c r="J74" t="str">
        <f t="shared" si="12"/>
        <v>2023</v>
      </c>
      <c r="K74" t="str">
        <f t="shared" si="13"/>
        <v>Mariana Souza - Financeiro</v>
      </c>
      <c r="L74" t="str">
        <f t="shared" si="14"/>
        <v>Mariana Souza</v>
      </c>
      <c r="M74" t="str">
        <f t="shared" si="15"/>
        <v>11905307605</v>
      </c>
      <c r="N74" t="str">
        <f t="shared" si="16"/>
        <v>Mariana.Financeiro@empresa.com</v>
      </c>
      <c r="O74" t="str">
        <f t="shared" si="17"/>
        <v>Mariana</v>
      </c>
      <c r="P74" t="str">
        <f t="shared" si="18"/>
        <v>Souza</v>
      </c>
      <c r="Q74" t="str">
        <f t="shared" si="19"/>
        <v>FUNC-2023-1966</v>
      </c>
    </row>
    <row r="75" spans="1:17" x14ac:dyDescent="0.35">
      <c r="A75" t="s">
        <v>193</v>
      </c>
      <c r="B75" t="s">
        <v>65</v>
      </c>
      <c r="C75" t="s">
        <v>194</v>
      </c>
      <c r="D75" t="s">
        <v>67</v>
      </c>
      <c r="E75" t="s">
        <v>48</v>
      </c>
      <c r="F75" t="s">
        <v>59</v>
      </c>
      <c r="G75" t="s">
        <v>68</v>
      </c>
      <c r="H75" t="str">
        <f t="shared" si="10"/>
        <v>FUNC</v>
      </c>
      <c r="I75" t="str">
        <f t="shared" si="11"/>
        <v>9303</v>
      </c>
      <c r="J75" t="str">
        <f t="shared" si="12"/>
        <v>2024</v>
      </c>
      <c r="K75" t="str">
        <f t="shared" si="13"/>
        <v>Mariana Souza - Financeiro</v>
      </c>
      <c r="L75" t="str">
        <f t="shared" si="14"/>
        <v>Mariana Souza</v>
      </c>
      <c r="M75" t="str">
        <f t="shared" si="15"/>
        <v>11943765942</v>
      </c>
      <c r="N75" t="str">
        <f t="shared" si="16"/>
        <v>Mariana.Financeiro@empresa.com</v>
      </c>
      <c r="O75" t="str">
        <f t="shared" si="17"/>
        <v>Mariana</v>
      </c>
      <c r="P75" t="str">
        <f t="shared" si="18"/>
        <v>Souza</v>
      </c>
      <c r="Q75" t="str">
        <f t="shared" si="19"/>
        <v>FUNC-2024-9303</v>
      </c>
    </row>
    <row r="76" spans="1:17" x14ac:dyDescent="0.35">
      <c r="A76" t="s">
        <v>195</v>
      </c>
      <c r="B76" t="s">
        <v>90</v>
      </c>
      <c r="C76" t="s">
        <v>196</v>
      </c>
      <c r="D76" t="s">
        <v>92</v>
      </c>
      <c r="E76" t="s">
        <v>25</v>
      </c>
      <c r="F76" t="s">
        <v>35</v>
      </c>
      <c r="G76" t="s">
        <v>93</v>
      </c>
      <c r="H76" t="str">
        <f t="shared" si="10"/>
        <v>FUNC</v>
      </c>
      <c r="I76" t="str">
        <f t="shared" si="11"/>
        <v>3897</v>
      </c>
      <c r="J76" t="str">
        <f t="shared" si="12"/>
        <v>2021</v>
      </c>
      <c r="K76" t="str">
        <f t="shared" si="13"/>
        <v>Patricia Mendes - TI</v>
      </c>
      <c r="L76" t="str">
        <f t="shared" si="14"/>
        <v>Patricia Mendes</v>
      </c>
      <c r="M76" t="str">
        <f t="shared" si="15"/>
        <v>11984169758</v>
      </c>
      <c r="N76" t="str">
        <f t="shared" si="16"/>
        <v>Patricia.TI@empresa.com</v>
      </c>
      <c r="O76" t="str">
        <f t="shared" si="17"/>
        <v>Patricia</v>
      </c>
      <c r="P76" t="str">
        <f t="shared" si="18"/>
        <v>Mendes</v>
      </c>
      <c r="Q76" t="str">
        <f t="shared" si="19"/>
        <v>FUNC-2021-3897</v>
      </c>
    </row>
    <row r="77" spans="1:17" x14ac:dyDescent="0.35">
      <c r="A77" t="s">
        <v>197</v>
      </c>
      <c r="B77" t="s">
        <v>22</v>
      </c>
      <c r="C77" t="s">
        <v>198</v>
      </c>
      <c r="D77" t="s">
        <v>24</v>
      </c>
      <c r="E77" t="s">
        <v>48</v>
      </c>
      <c r="F77" t="s">
        <v>26</v>
      </c>
      <c r="G77" t="s">
        <v>27</v>
      </c>
      <c r="H77" t="str">
        <f t="shared" si="10"/>
        <v>FUNC</v>
      </c>
      <c r="I77" t="str">
        <f t="shared" si="11"/>
        <v>8183</v>
      </c>
      <c r="J77" t="str">
        <f t="shared" si="12"/>
        <v>2024</v>
      </c>
      <c r="K77" t="str">
        <f t="shared" si="13"/>
        <v>Ana Silva - Financeiro</v>
      </c>
      <c r="L77" t="str">
        <f t="shared" si="14"/>
        <v>Ana Silva</v>
      </c>
      <c r="M77" t="str">
        <f t="shared" si="15"/>
        <v>11992767178</v>
      </c>
      <c r="N77" t="str">
        <f t="shared" si="16"/>
        <v>Ana.Financeiro@empresa.com</v>
      </c>
      <c r="O77" t="str">
        <f t="shared" si="17"/>
        <v>Ana</v>
      </c>
      <c r="P77" t="str">
        <f t="shared" si="18"/>
        <v>Silva</v>
      </c>
      <c r="Q77" t="str">
        <f t="shared" si="19"/>
        <v>FUNC-2024-8183</v>
      </c>
    </row>
    <row r="78" spans="1:17" x14ac:dyDescent="0.35">
      <c r="A78" t="s">
        <v>199</v>
      </c>
      <c r="B78" t="s">
        <v>15</v>
      </c>
      <c r="C78" t="s">
        <v>200</v>
      </c>
      <c r="D78" t="s">
        <v>17</v>
      </c>
      <c r="E78" t="s">
        <v>25</v>
      </c>
      <c r="F78" t="s">
        <v>26</v>
      </c>
      <c r="G78" t="s">
        <v>20</v>
      </c>
      <c r="H78" t="str">
        <f t="shared" si="10"/>
        <v>FUNC</v>
      </c>
      <c r="I78" t="str">
        <f t="shared" si="11"/>
        <v>1746</v>
      </c>
      <c r="J78" t="str">
        <f t="shared" si="12"/>
        <v>2024</v>
      </c>
      <c r="K78" t="str">
        <f t="shared" si="13"/>
        <v>Roberto Araujo - TI</v>
      </c>
      <c r="L78" t="str">
        <f t="shared" si="14"/>
        <v>Roberto Araujo</v>
      </c>
      <c r="M78" t="str">
        <f t="shared" si="15"/>
        <v>11954103622</v>
      </c>
      <c r="N78" t="str">
        <f t="shared" si="16"/>
        <v>Roberto.TI@empresa.com</v>
      </c>
      <c r="O78" t="str">
        <f t="shared" si="17"/>
        <v>Roberto</v>
      </c>
      <c r="P78" t="str">
        <f t="shared" si="18"/>
        <v>Araujo</v>
      </c>
      <c r="Q78" t="str">
        <f t="shared" si="19"/>
        <v>FUNC-2024-1746</v>
      </c>
    </row>
    <row r="79" spans="1:17" x14ac:dyDescent="0.35">
      <c r="A79" t="s">
        <v>201</v>
      </c>
      <c r="B79" t="s">
        <v>90</v>
      </c>
      <c r="C79" t="s">
        <v>202</v>
      </c>
      <c r="D79" t="s">
        <v>92</v>
      </c>
      <c r="E79" t="s">
        <v>11</v>
      </c>
      <c r="F79" t="s">
        <v>35</v>
      </c>
      <c r="G79" t="s">
        <v>93</v>
      </c>
      <c r="H79" t="str">
        <f t="shared" si="10"/>
        <v>FUNC</v>
      </c>
      <c r="I79" t="str">
        <f t="shared" si="11"/>
        <v>7964</v>
      </c>
      <c r="J79" t="str">
        <f t="shared" si="12"/>
        <v>2021</v>
      </c>
      <c r="K79" t="str">
        <f t="shared" si="13"/>
        <v>Patricia Mendes - Marketing</v>
      </c>
      <c r="L79" t="str">
        <f t="shared" si="14"/>
        <v>Patricia Mendes</v>
      </c>
      <c r="M79" t="str">
        <f t="shared" si="15"/>
        <v>11912877094</v>
      </c>
      <c r="N79" t="str">
        <f t="shared" si="16"/>
        <v>Patricia.Marketing@empresa.com</v>
      </c>
      <c r="O79" t="str">
        <f t="shared" si="17"/>
        <v>Patricia</v>
      </c>
      <c r="P79" t="str">
        <f t="shared" si="18"/>
        <v>Mendes</v>
      </c>
      <c r="Q79" t="str">
        <f t="shared" si="19"/>
        <v>FUNC-2021-7964</v>
      </c>
    </row>
    <row r="80" spans="1:17" x14ac:dyDescent="0.35">
      <c r="A80" t="s">
        <v>203</v>
      </c>
      <c r="B80" t="s">
        <v>65</v>
      </c>
      <c r="C80" t="s">
        <v>204</v>
      </c>
      <c r="D80" t="s">
        <v>67</v>
      </c>
      <c r="E80" t="s">
        <v>25</v>
      </c>
      <c r="F80" t="s">
        <v>59</v>
      </c>
      <c r="G80" t="s">
        <v>68</v>
      </c>
      <c r="H80" t="str">
        <f t="shared" si="10"/>
        <v>FUNC</v>
      </c>
      <c r="I80" t="str">
        <f t="shared" si="11"/>
        <v>1727</v>
      </c>
      <c r="J80" t="str">
        <f t="shared" si="12"/>
        <v>2025</v>
      </c>
      <c r="K80" t="str">
        <f t="shared" si="13"/>
        <v>Mariana Souza - TI</v>
      </c>
      <c r="L80" t="str">
        <f t="shared" si="14"/>
        <v>Mariana Souza</v>
      </c>
      <c r="M80" t="str">
        <f t="shared" si="15"/>
        <v>11911507250</v>
      </c>
      <c r="N80" t="str">
        <f t="shared" si="16"/>
        <v>Mariana.TI@empresa.com</v>
      </c>
      <c r="O80" t="str">
        <f t="shared" si="17"/>
        <v>Mariana</v>
      </c>
      <c r="P80" t="str">
        <f t="shared" si="18"/>
        <v>Souza</v>
      </c>
      <c r="Q80" t="str">
        <f t="shared" si="19"/>
        <v>FUNC-2026-1727</v>
      </c>
    </row>
    <row r="81" spans="1:17" x14ac:dyDescent="0.35">
      <c r="A81" t="s">
        <v>205</v>
      </c>
      <c r="B81" t="s">
        <v>42</v>
      </c>
      <c r="C81" t="s">
        <v>206</v>
      </c>
      <c r="D81" t="s">
        <v>44</v>
      </c>
      <c r="E81" t="s">
        <v>48</v>
      </c>
      <c r="F81" t="s">
        <v>12</v>
      </c>
      <c r="G81" t="s">
        <v>45</v>
      </c>
      <c r="H81" t="str">
        <f t="shared" si="10"/>
        <v>FUNC</v>
      </c>
      <c r="I81" t="str">
        <f t="shared" si="11"/>
        <v>2011</v>
      </c>
      <c r="J81" t="str">
        <f t="shared" si="12"/>
        <v>2026</v>
      </c>
      <c r="K81" t="str">
        <f t="shared" si="13"/>
        <v>Julia Ferreira - Financeiro</v>
      </c>
      <c r="L81" t="str">
        <f t="shared" si="14"/>
        <v>Julia Ferreira</v>
      </c>
      <c r="M81" t="str">
        <f t="shared" si="15"/>
        <v>11905116799</v>
      </c>
      <c r="N81" t="str">
        <f t="shared" si="16"/>
        <v>Julia.Financeiro@empresa.com</v>
      </c>
      <c r="O81" t="str">
        <f t="shared" si="17"/>
        <v>Julia</v>
      </c>
      <c r="P81" t="str">
        <f t="shared" si="18"/>
        <v>Ferreira</v>
      </c>
      <c r="Q81" t="str">
        <f t="shared" si="19"/>
        <v>FUNC-2026-2011</v>
      </c>
    </row>
    <row r="82" spans="1:17" x14ac:dyDescent="0.35">
      <c r="A82" t="s">
        <v>207</v>
      </c>
      <c r="B82" t="s">
        <v>15</v>
      </c>
      <c r="C82" t="s">
        <v>208</v>
      </c>
      <c r="D82" t="s">
        <v>17</v>
      </c>
      <c r="E82" t="s">
        <v>18</v>
      </c>
      <c r="F82" t="s">
        <v>59</v>
      </c>
      <c r="G82" t="s">
        <v>20</v>
      </c>
      <c r="H82" t="str">
        <f t="shared" si="10"/>
        <v>FUNC</v>
      </c>
      <c r="I82" t="str">
        <f t="shared" si="11"/>
        <v>2210</v>
      </c>
      <c r="J82" t="str">
        <f t="shared" si="12"/>
        <v>2024</v>
      </c>
      <c r="K82" t="str">
        <f t="shared" si="13"/>
        <v>Roberto Araujo - RH</v>
      </c>
      <c r="L82" t="str">
        <f t="shared" si="14"/>
        <v>Roberto Araujo</v>
      </c>
      <c r="M82" t="str">
        <f t="shared" si="15"/>
        <v>11971121156</v>
      </c>
      <c r="N82" t="str">
        <f t="shared" si="16"/>
        <v>Roberto.RH@empresa.com</v>
      </c>
      <c r="O82" t="str">
        <f t="shared" si="17"/>
        <v>Roberto</v>
      </c>
      <c r="P82" t="str">
        <f t="shared" si="18"/>
        <v>Araujo</v>
      </c>
      <c r="Q82" t="str">
        <f t="shared" si="19"/>
        <v>FUNC-2024-2210</v>
      </c>
    </row>
    <row r="83" spans="1:17" x14ac:dyDescent="0.35">
      <c r="A83" t="s">
        <v>209</v>
      </c>
      <c r="B83" t="s">
        <v>22</v>
      </c>
      <c r="C83" t="s">
        <v>210</v>
      </c>
      <c r="D83" t="s">
        <v>24</v>
      </c>
      <c r="E83" t="s">
        <v>73</v>
      </c>
      <c r="F83" t="s">
        <v>12</v>
      </c>
      <c r="G83" t="s">
        <v>27</v>
      </c>
      <c r="H83" t="str">
        <f t="shared" si="10"/>
        <v>FUNC</v>
      </c>
      <c r="I83" t="str">
        <f t="shared" si="11"/>
        <v>4369</v>
      </c>
      <c r="J83" t="str">
        <f t="shared" si="12"/>
        <v>2022</v>
      </c>
      <c r="K83" t="str">
        <f t="shared" si="13"/>
        <v>Ana Silva - Vendas</v>
      </c>
      <c r="L83" t="str">
        <f t="shared" si="14"/>
        <v>Ana Silva</v>
      </c>
      <c r="M83" t="str">
        <f t="shared" si="15"/>
        <v>11913618569</v>
      </c>
      <c r="N83" t="str">
        <f t="shared" si="16"/>
        <v>Ana.Vendas@empresa.com</v>
      </c>
      <c r="O83" t="str">
        <f t="shared" si="17"/>
        <v>Ana</v>
      </c>
      <c r="P83" t="str">
        <f t="shared" si="18"/>
        <v>Silva</v>
      </c>
      <c r="Q83" t="str">
        <f t="shared" si="19"/>
        <v>FUNC-2022-4369</v>
      </c>
    </row>
    <row r="84" spans="1:17" x14ac:dyDescent="0.35">
      <c r="A84" t="s">
        <v>211</v>
      </c>
      <c r="B84" t="s">
        <v>8</v>
      </c>
      <c r="C84" t="s">
        <v>212</v>
      </c>
      <c r="D84" t="s">
        <v>10</v>
      </c>
      <c r="E84" t="s">
        <v>25</v>
      </c>
      <c r="F84" t="s">
        <v>26</v>
      </c>
      <c r="G84" t="s">
        <v>13</v>
      </c>
      <c r="H84" t="str">
        <f t="shared" si="10"/>
        <v>FUNC</v>
      </c>
      <c r="I84" t="str">
        <f t="shared" si="11"/>
        <v>9880</v>
      </c>
      <c r="J84" t="str">
        <f t="shared" si="12"/>
        <v>2024</v>
      </c>
      <c r="K84" t="str">
        <f t="shared" si="13"/>
        <v>Carlos Oliveira - TI</v>
      </c>
      <c r="L84" t="str">
        <f t="shared" si="14"/>
        <v>Carlos Oliveira</v>
      </c>
      <c r="M84" t="str">
        <f t="shared" si="15"/>
        <v>11970257120</v>
      </c>
      <c r="N84" t="str">
        <f t="shared" si="16"/>
        <v>Carlos.TI@empresa.com</v>
      </c>
      <c r="O84" t="str">
        <f t="shared" si="17"/>
        <v>Carlos</v>
      </c>
      <c r="P84" t="str">
        <f t="shared" si="18"/>
        <v>Oliveira</v>
      </c>
      <c r="Q84" t="str">
        <f t="shared" si="19"/>
        <v>FUNC-2024-9880</v>
      </c>
    </row>
    <row r="85" spans="1:17" x14ac:dyDescent="0.35">
      <c r="A85" t="s">
        <v>213</v>
      </c>
      <c r="B85" t="s">
        <v>109</v>
      </c>
      <c r="C85" t="s">
        <v>214</v>
      </c>
      <c r="D85" t="s">
        <v>111</v>
      </c>
      <c r="E85" t="s">
        <v>73</v>
      </c>
      <c r="F85" t="s">
        <v>12</v>
      </c>
      <c r="G85" t="s">
        <v>112</v>
      </c>
      <c r="H85" t="str">
        <f t="shared" si="10"/>
        <v>FUNC</v>
      </c>
      <c r="I85" t="str">
        <f t="shared" si="11"/>
        <v>1598</v>
      </c>
      <c r="J85" t="str">
        <f t="shared" si="12"/>
        <v>2023</v>
      </c>
      <c r="K85" t="str">
        <f t="shared" si="13"/>
        <v>Fernanda Almeida - Vendas</v>
      </c>
      <c r="L85" t="str">
        <f t="shared" si="14"/>
        <v>Fernanda Almeida</v>
      </c>
      <c r="M85" t="str">
        <f t="shared" si="15"/>
        <v>11929820717</v>
      </c>
      <c r="N85" t="str">
        <f t="shared" si="16"/>
        <v>Fernanda.Vendas@empresa.com</v>
      </c>
      <c r="O85" t="str">
        <f t="shared" si="17"/>
        <v>Fernanda</v>
      </c>
      <c r="P85" t="str">
        <f t="shared" si="18"/>
        <v>Almeida</v>
      </c>
      <c r="Q85" t="str">
        <f t="shared" si="19"/>
        <v>FUNC-2023-1598</v>
      </c>
    </row>
    <row r="86" spans="1:17" x14ac:dyDescent="0.35">
      <c r="A86" t="s">
        <v>215</v>
      </c>
      <c r="B86" t="s">
        <v>109</v>
      </c>
      <c r="C86" t="s">
        <v>216</v>
      </c>
      <c r="D86" t="s">
        <v>111</v>
      </c>
      <c r="E86" t="s">
        <v>25</v>
      </c>
      <c r="F86" t="s">
        <v>26</v>
      </c>
      <c r="G86" t="s">
        <v>112</v>
      </c>
      <c r="H86" t="str">
        <f t="shared" si="10"/>
        <v>FUNC</v>
      </c>
      <c r="I86" t="str">
        <f t="shared" si="11"/>
        <v>2783</v>
      </c>
      <c r="J86" t="str">
        <f t="shared" si="12"/>
        <v>2023</v>
      </c>
      <c r="K86" t="str">
        <f t="shared" si="13"/>
        <v>Fernanda Almeida - TI</v>
      </c>
      <c r="L86" t="str">
        <f t="shared" si="14"/>
        <v>Fernanda Almeida</v>
      </c>
      <c r="M86" t="str">
        <f t="shared" si="15"/>
        <v>11983768574</v>
      </c>
      <c r="N86" t="str">
        <f t="shared" si="16"/>
        <v>Fernanda.TI@empresa.com</v>
      </c>
      <c r="O86" t="str">
        <f t="shared" si="17"/>
        <v>Fernanda</v>
      </c>
      <c r="P86" t="str">
        <f t="shared" si="18"/>
        <v>Almeida</v>
      </c>
      <c r="Q86" t="str">
        <f t="shared" si="19"/>
        <v>FUNC-2023-2783</v>
      </c>
    </row>
    <row r="87" spans="1:17" x14ac:dyDescent="0.35">
      <c r="A87" t="s">
        <v>217</v>
      </c>
      <c r="B87" t="s">
        <v>22</v>
      </c>
      <c r="C87" t="s">
        <v>218</v>
      </c>
      <c r="D87" t="s">
        <v>24</v>
      </c>
      <c r="E87" t="s">
        <v>48</v>
      </c>
      <c r="F87" t="s">
        <v>12</v>
      </c>
      <c r="G87" t="s">
        <v>27</v>
      </c>
      <c r="H87" t="str">
        <f t="shared" si="10"/>
        <v>FUNC</v>
      </c>
      <c r="I87" t="str">
        <f t="shared" si="11"/>
        <v>3026</v>
      </c>
      <c r="J87" t="str">
        <f t="shared" si="12"/>
        <v>2023</v>
      </c>
      <c r="K87" t="str">
        <f t="shared" si="13"/>
        <v>Ana Silva - Financeiro</v>
      </c>
      <c r="L87" t="str">
        <f t="shared" si="14"/>
        <v>Ana Silva</v>
      </c>
      <c r="M87" t="str">
        <f t="shared" si="15"/>
        <v>11996778737</v>
      </c>
      <c r="N87" t="str">
        <f t="shared" si="16"/>
        <v>Ana.Financeiro@empresa.com</v>
      </c>
      <c r="O87" t="str">
        <f t="shared" si="17"/>
        <v>Ana</v>
      </c>
      <c r="P87" t="str">
        <f t="shared" si="18"/>
        <v>Silva</v>
      </c>
      <c r="Q87" t="str">
        <f t="shared" si="19"/>
        <v>FUNC-2023-3026</v>
      </c>
    </row>
    <row r="88" spans="1:17" x14ac:dyDescent="0.35">
      <c r="A88" t="s">
        <v>219</v>
      </c>
      <c r="B88" t="s">
        <v>37</v>
      </c>
      <c r="C88" t="s">
        <v>220</v>
      </c>
      <c r="D88" t="s">
        <v>39</v>
      </c>
      <c r="E88" t="s">
        <v>73</v>
      </c>
      <c r="F88" t="s">
        <v>12</v>
      </c>
      <c r="G88" t="s">
        <v>40</v>
      </c>
      <c r="H88" t="str">
        <f t="shared" si="10"/>
        <v>FUNC</v>
      </c>
      <c r="I88" t="str">
        <f t="shared" si="11"/>
        <v>2083</v>
      </c>
      <c r="J88" t="str">
        <f t="shared" si="12"/>
        <v>2024</v>
      </c>
      <c r="K88" t="str">
        <f t="shared" si="13"/>
        <v>Lucas Costa - Vendas</v>
      </c>
      <c r="L88" t="str">
        <f t="shared" si="14"/>
        <v>Lucas Costa</v>
      </c>
      <c r="M88" t="str">
        <f t="shared" si="15"/>
        <v>11931273069</v>
      </c>
      <c r="N88" t="str">
        <f t="shared" si="16"/>
        <v>Lucas.Vendas@empresa.com</v>
      </c>
      <c r="O88" t="str">
        <f t="shared" si="17"/>
        <v>Lucas</v>
      </c>
      <c r="P88" t="str">
        <f t="shared" si="18"/>
        <v>Costa</v>
      </c>
      <c r="Q88" t="str">
        <f t="shared" si="19"/>
        <v>FUNC-2024-2083</v>
      </c>
    </row>
    <row r="89" spans="1:17" x14ac:dyDescent="0.35">
      <c r="A89" t="s">
        <v>221</v>
      </c>
      <c r="B89" t="s">
        <v>22</v>
      </c>
      <c r="C89" t="s">
        <v>222</v>
      </c>
      <c r="D89" t="s">
        <v>24</v>
      </c>
      <c r="E89" t="s">
        <v>25</v>
      </c>
      <c r="F89" t="s">
        <v>35</v>
      </c>
      <c r="G89" t="s">
        <v>27</v>
      </c>
      <c r="H89" t="str">
        <f t="shared" si="10"/>
        <v>FUNC</v>
      </c>
      <c r="I89" t="str">
        <f t="shared" si="11"/>
        <v>2284</v>
      </c>
      <c r="J89" t="str">
        <f t="shared" si="12"/>
        <v>2021</v>
      </c>
      <c r="K89" t="str">
        <f t="shared" si="13"/>
        <v>Ana Silva - TI</v>
      </c>
      <c r="L89" t="str">
        <f t="shared" si="14"/>
        <v>Ana Silva</v>
      </c>
      <c r="M89" t="str">
        <f t="shared" si="15"/>
        <v>11994658098</v>
      </c>
      <c r="N89" t="str">
        <f t="shared" si="16"/>
        <v>Ana.TI@empresa.com</v>
      </c>
      <c r="O89" t="str">
        <f t="shared" si="17"/>
        <v>Ana</v>
      </c>
      <c r="P89" t="str">
        <f t="shared" si="18"/>
        <v>Silva</v>
      </c>
      <c r="Q89" t="str">
        <f t="shared" si="19"/>
        <v>FUNC-2021-2284</v>
      </c>
    </row>
    <row r="90" spans="1:17" x14ac:dyDescent="0.35">
      <c r="A90" t="s">
        <v>223</v>
      </c>
      <c r="B90" t="s">
        <v>65</v>
      </c>
      <c r="C90" t="s">
        <v>224</v>
      </c>
      <c r="D90" t="s">
        <v>67</v>
      </c>
      <c r="E90" t="s">
        <v>73</v>
      </c>
      <c r="F90" t="s">
        <v>19</v>
      </c>
      <c r="G90" t="s">
        <v>68</v>
      </c>
      <c r="H90" t="str">
        <f t="shared" si="10"/>
        <v>FUNC</v>
      </c>
      <c r="I90" t="str">
        <f t="shared" si="11"/>
        <v>1378</v>
      </c>
      <c r="J90" t="str">
        <f t="shared" si="12"/>
        <v>2023</v>
      </c>
      <c r="K90" t="str">
        <f t="shared" si="13"/>
        <v>Mariana Souza - Vendas</v>
      </c>
      <c r="L90" t="str">
        <f t="shared" si="14"/>
        <v>Mariana Souza</v>
      </c>
      <c r="M90" t="str">
        <f t="shared" si="15"/>
        <v>11978472863</v>
      </c>
      <c r="N90" t="str">
        <f t="shared" si="16"/>
        <v>Mariana.Vendas@empresa.com</v>
      </c>
      <c r="O90" t="str">
        <f t="shared" si="17"/>
        <v>Mariana</v>
      </c>
      <c r="P90" t="str">
        <f t="shared" si="18"/>
        <v>Souza</v>
      </c>
      <c r="Q90" t="str">
        <f t="shared" si="19"/>
        <v>FUNC-2023-1378</v>
      </c>
    </row>
    <row r="91" spans="1:17" x14ac:dyDescent="0.35">
      <c r="A91" t="s">
        <v>225</v>
      </c>
      <c r="B91" t="s">
        <v>8</v>
      </c>
      <c r="C91" t="s">
        <v>226</v>
      </c>
      <c r="D91" t="s">
        <v>10</v>
      </c>
      <c r="E91" t="s">
        <v>25</v>
      </c>
      <c r="F91" t="s">
        <v>26</v>
      </c>
      <c r="G91" t="s">
        <v>13</v>
      </c>
      <c r="H91" t="str">
        <f t="shared" si="10"/>
        <v>FUNC</v>
      </c>
      <c r="I91" t="str">
        <f t="shared" si="11"/>
        <v>7256</v>
      </c>
      <c r="J91" t="str">
        <f t="shared" si="12"/>
        <v>2023</v>
      </c>
      <c r="K91" t="str">
        <f t="shared" si="13"/>
        <v>Carlos Oliveira - TI</v>
      </c>
      <c r="L91" t="str">
        <f t="shared" si="14"/>
        <v>Carlos Oliveira</v>
      </c>
      <c r="M91" t="str">
        <f t="shared" si="15"/>
        <v>11982823742</v>
      </c>
      <c r="N91" t="str">
        <f t="shared" si="16"/>
        <v>Carlos.TI@empresa.com</v>
      </c>
      <c r="O91" t="str">
        <f t="shared" si="17"/>
        <v>Carlos</v>
      </c>
      <c r="P91" t="str">
        <f t="shared" si="18"/>
        <v>Oliveira</v>
      </c>
      <c r="Q91" t="str">
        <f t="shared" si="19"/>
        <v>FUNC-2023-7256</v>
      </c>
    </row>
    <row r="92" spans="1:17" x14ac:dyDescent="0.35">
      <c r="A92" t="s">
        <v>227</v>
      </c>
      <c r="B92" t="s">
        <v>37</v>
      </c>
      <c r="C92" t="s">
        <v>228</v>
      </c>
      <c r="D92" t="s">
        <v>39</v>
      </c>
      <c r="E92" t="s">
        <v>48</v>
      </c>
      <c r="F92" t="s">
        <v>59</v>
      </c>
      <c r="G92" t="s">
        <v>40</v>
      </c>
      <c r="H92" t="str">
        <f t="shared" si="10"/>
        <v>FUNC</v>
      </c>
      <c r="I92" t="str">
        <f t="shared" si="11"/>
        <v>5156</v>
      </c>
      <c r="J92" t="str">
        <f t="shared" si="12"/>
        <v>2025</v>
      </c>
      <c r="K92" t="str">
        <f t="shared" si="13"/>
        <v>Lucas Costa - Financeiro</v>
      </c>
      <c r="L92" t="str">
        <f t="shared" si="14"/>
        <v>Lucas Costa</v>
      </c>
      <c r="M92" t="str">
        <f t="shared" si="15"/>
        <v>11904699138</v>
      </c>
      <c r="N92" t="str">
        <f t="shared" si="16"/>
        <v>Lucas.Financeiro@empresa.com</v>
      </c>
      <c r="O92" t="str">
        <f t="shared" si="17"/>
        <v>Lucas</v>
      </c>
      <c r="P92" t="str">
        <f t="shared" si="18"/>
        <v>Costa</v>
      </c>
      <c r="Q92" t="str">
        <f t="shared" si="19"/>
        <v>FUNC-2026-5156</v>
      </c>
    </row>
    <row r="93" spans="1:17" x14ac:dyDescent="0.35">
      <c r="A93" t="s">
        <v>229</v>
      </c>
      <c r="B93" t="s">
        <v>29</v>
      </c>
      <c r="C93" t="s">
        <v>230</v>
      </c>
      <c r="D93" t="s">
        <v>31</v>
      </c>
      <c r="E93" t="s">
        <v>25</v>
      </c>
      <c r="F93" t="s">
        <v>12</v>
      </c>
      <c r="G93" t="s">
        <v>32</v>
      </c>
      <c r="H93" t="str">
        <f t="shared" si="10"/>
        <v>FUNC</v>
      </c>
      <c r="I93" t="str">
        <f t="shared" si="11"/>
        <v>4854</v>
      </c>
      <c r="J93" t="str">
        <f t="shared" si="12"/>
        <v>2022</v>
      </c>
      <c r="K93" t="str">
        <f t="shared" si="13"/>
        <v>Ricardo Santos - TI</v>
      </c>
      <c r="L93" t="str">
        <f t="shared" si="14"/>
        <v>Ricardo Santos</v>
      </c>
      <c r="M93" t="str">
        <f t="shared" si="15"/>
        <v>11989444131</v>
      </c>
      <c r="N93" t="str">
        <f t="shared" si="16"/>
        <v>Ricardo.TI@empresa.com</v>
      </c>
      <c r="O93" t="str">
        <f t="shared" si="17"/>
        <v>Ricardo</v>
      </c>
      <c r="P93" t="str">
        <f t="shared" si="18"/>
        <v>Santos</v>
      </c>
      <c r="Q93" t="str">
        <f t="shared" si="19"/>
        <v>FUNC-2022-4854</v>
      </c>
    </row>
    <row r="94" spans="1:17" x14ac:dyDescent="0.35">
      <c r="A94" t="s">
        <v>231</v>
      </c>
      <c r="B94" t="s">
        <v>109</v>
      </c>
      <c r="C94" t="s">
        <v>232</v>
      </c>
      <c r="D94" t="s">
        <v>111</v>
      </c>
      <c r="E94" t="s">
        <v>11</v>
      </c>
      <c r="F94" t="s">
        <v>12</v>
      </c>
      <c r="G94" t="s">
        <v>112</v>
      </c>
      <c r="H94" t="str">
        <f t="shared" si="10"/>
        <v>FUNC</v>
      </c>
      <c r="I94" t="str">
        <f t="shared" si="11"/>
        <v>6448</v>
      </c>
      <c r="J94" t="str">
        <f t="shared" si="12"/>
        <v>2022</v>
      </c>
      <c r="K94" t="str">
        <f t="shared" si="13"/>
        <v>Fernanda Almeida - Marketing</v>
      </c>
      <c r="L94" t="str">
        <f t="shared" si="14"/>
        <v>Fernanda Almeida</v>
      </c>
      <c r="M94" t="str">
        <f t="shared" si="15"/>
        <v>11955205461</v>
      </c>
      <c r="N94" t="str">
        <f t="shared" si="16"/>
        <v>Fernanda.Marketing@empresa.com</v>
      </c>
      <c r="O94" t="str">
        <f t="shared" si="17"/>
        <v>Fernanda</v>
      </c>
      <c r="P94" t="str">
        <f t="shared" si="18"/>
        <v>Almeida</v>
      </c>
      <c r="Q94" t="str">
        <f t="shared" si="19"/>
        <v>FUNC-2022-6448</v>
      </c>
    </row>
    <row r="95" spans="1:17" x14ac:dyDescent="0.35">
      <c r="A95" t="s">
        <v>233</v>
      </c>
      <c r="B95" t="s">
        <v>8</v>
      </c>
      <c r="C95" t="s">
        <v>234</v>
      </c>
      <c r="D95" t="s">
        <v>10</v>
      </c>
      <c r="E95" t="s">
        <v>25</v>
      </c>
      <c r="F95" t="s">
        <v>12</v>
      </c>
      <c r="G95" t="s">
        <v>13</v>
      </c>
      <c r="H95" t="str">
        <f t="shared" si="10"/>
        <v>FUNC</v>
      </c>
      <c r="I95" t="str">
        <f t="shared" si="11"/>
        <v>2642</v>
      </c>
      <c r="J95" t="str">
        <f t="shared" si="12"/>
        <v>2022</v>
      </c>
      <c r="K95" t="str">
        <f t="shared" si="13"/>
        <v>Carlos Oliveira - TI</v>
      </c>
      <c r="L95" t="str">
        <f t="shared" si="14"/>
        <v>Carlos Oliveira</v>
      </c>
      <c r="M95" t="str">
        <f t="shared" si="15"/>
        <v>11969119935</v>
      </c>
      <c r="N95" t="str">
        <f t="shared" si="16"/>
        <v>Carlos.TI@empresa.com</v>
      </c>
      <c r="O95" t="str">
        <f t="shared" si="17"/>
        <v>Carlos</v>
      </c>
      <c r="P95" t="str">
        <f t="shared" si="18"/>
        <v>Oliveira</v>
      </c>
      <c r="Q95" t="str">
        <f t="shared" si="19"/>
        <v>FUNC-2022-2642</v>
      </c>
    </row>
    <row r="96" spans="1:17" x14ac:dyDescent="0.35">
      <c r="A96" t="s">
        <v>235</v>
      </c>
      <c r="B96" t="s">
        <v>65</v>
      </c>
      <c r="C96" t="s">
        <v>236</v>
      </c>
      <c r="D96" t="s">
        <v>67</v>
      </c>
      <c r="E96" t="s">
        <v>73</v>
      </c>
      <c r="F96" t="s">
        <v>12</v>
      </c>
      <c r="G96" t="s">
        <v>68</v>
      </c>
      <c r="H96" t="str">
        <f t="shared" si="10"/>
        <v>FUNC</v>
      </c>
      <c r="I96" t="str">
        <f t="shared" si="11"/>
        <v>2506</v>
      </c>
      <c r="J96" t="str">
        <f t="shared" si="12"/>
        <v>2026</v>
      </c>
      <c r="K96" t="str">
        <f t="shared" si="13"/>
        <v>Mariana Souza - Vendas</v>
      </c>
      <c r="L96" t="str">
        <f t="shared" si="14"/>
        <v>Mariana Souza</v>
      </c>
      <c r="M96" t="str">
        <f t="shared" si="15"/>
        <v>11942706101</v>
      </c>
      <c r="N96" t="str">
        <f t="shared" si="16"/>
        <v>Mariana.Vendas@empresa.com</v>
      </c>
      <c r="O96" t="str">
        <f t="shared" si="17"/>
        <v>Mariana</v>
      </c>
      <c r="P96" t="str">
        <f t="shared" si="18"/>
        <v>Souza</v>
      </c>
      <c r="Q96" t="str">
        <f t="shared" si="19"/>
        <v>FUNC-2026-2506</v>
      </c>
    </row>
    <row r="97" spans="1:17" x14ac:dyDescent="0.35">
      <c r="A97" t="s">
        <v>237</v>
      </c>
      <c r="B97" t="s">
        <v>81</v>
      </c>
      <c r="C97" t="s">
        <v>238</v>
      </c>
      <c r="D97" t="s">
        <v>83</v>
      </c>
      <c r="E97" t="s">
        <v>73</v>
      </c>
      <c r="F97" t="s">
        <v>19</v>
      </c>
      <c r="G97" t="s">
        <v>84</v>
      </c>
      <c r="H97" t="str">
        <f t="shared" si="10"/>
        <v>FUNC</v>
      </c>
      <c r="I97" t="str">
        <f t="shared" si="11"/>
        <v>9716</v>
      </c>
      <c r="J97" t="str">
        <f t="shared" si="12"/>
        <v>2024</v>
      </c>
      <c r="K97" t="str">
        <f t="shared" si="13"/>
        <v>Pedro Lima - Vendas</v>
      </c>
      <c r="L97" t="str">
        <f t="shared" si="14"/>
        <v>Pedro Lima</v>
      </c>
      <c r="M97" t="str">
        <f t="shared" si="15"/>
        <v>11955423230</v>
      </c>
      <c r="N97" t="str">
        <f t="shared" si="16"/>
        <v>Pedro.Vendas@empresa.com</v>
      </c>
      <c r="O97" t="str">
        <f t="shared" si="17"/>
        <v>Pedro</v>
      </c>
      <c r="P97" t="str">
        <f t="shared" si="18"/>
        <v>Lima</v>
      </c>
      <c r="Q97" t="str">
        <f t="shared" si="19"/>
        <v>FUNC-2024-9716</v>
      </c>
    </row>
    <row r="98" spans="1:17" x14ac:dyDescent="0.35">
      <c r="A98" t="s">
        <v>239</v>
      </c>
      <c r="B98" t="s">
        <v>8</v>
      </c>
      <c r="C98" t="s">
        <v>240</v>
      </c>
      <c r="D98" t="s">
        <v>10</v>
      </c>
      <c r="E98" t="s">
        <v>48</v>
      </c>
      <c r="F98" t="s">
        <v>12</v>
      </c>
      <c r="G98" t="s">
        <v>13</v>
      </c>
      <c r="H98" t="str">
        <f t="shared" si="10"/>
        <v>FUNC</v>
      </c>
      <c r="I98" t="str">
        <f t="shared" si="11"/>
        <v>7966</v>
      </c>
      <c r="J98" t="str">
        <f t="shared" si="12"/>
        <v>2025</v>
      </c>
      <c r="K98" t="str">
        <f t="shared" si="13"/>
        <v>Carlos Oliveira - Financeiro</v>
      </c>
      <c r="L98" t="str">
        <f t="shared" si="14"/>
        <v>Carlos Oliveira</v>
      </c>
      <c r="M98" t="str">
        <f t="shared" si="15"/>
        <v>11965849285</v>
      </c>
      <c r="N98" t="str">
        <f t="shared" si="16"/>
        <v>Carlos.Financeiro@empresa.com</v>
      </c>
      <c r="O98" t="str">
        <f t="shared" si="17"/>
        <v>Carlos</v>
      </c>
      <c r="P98" t="str">
        <f t="shared" si="18"/>
        <v>Oliveira</v>
      </c>
      <c r="Q98" t="str">
        <f t="shared" si="19"/>
        <v>FUNC-2026-7966</v>
      </c>
    </row>
    <row r="99" spans="1:17" x14ac:dyDescent="0.35">
      <c r="A99" t="s">
        <v>241</v>
      </c>
      <c r="B99" t="s">
        <v>37</v>
      </c>
      <c r="C99" t="s">
        <v>242</v>
      </c>
      <c r="D99" t="s">
        <v>39</v>
      </c>
      <c r="E99" t="s">
        <v>25</v>
      </c>
      <c r="F99" t="s">
        <v>19</v>
      </c>
      <c r="G99" t="s">
        <v>40</v>
      </c>
      <c r="H99" t="str">
        <f t="shared" si="10"/>
        <v>FUNC</v>
      </c>
      <c r="I99" t="str">
        <f t="shared" si="11"/>
        <v>8270</v>
      </c>
      <c r="J99" t="str">
        <f t="shared" si="12"/>
        <v>2023</v>
      </c>
      <c r="K99" t="str">
        <f t="shared" si="13"/>
        <v>Lucas Costa - TI</v>
      </c>
      <c r="L99" t="str">
        <f t="shared" si="14"/>
        <v>Lucas Costa</v>
      </c>
      <c r="M99" t="str">
        <f t="shared" si="15"/>
        <v>11904700031</v>
      </c>
      <c r="N99" t="str">
        <f t="shared" si="16"/>
        <v>Lucas.TI@empresa.com</v>
      </c>
      <c r="O99" t="str">
        <f t="shared" si="17"/>
        <v>Lucas</v>
      </c>
      <c r="P99" t="str">
        <f t="shared" si="18"/>
        <v>Costa</v>
      </c>
      <c r="Q99" t="str">
        <f t="shared" si="19"/>
        <v>FUNC-2023-8270</v>
      </c>
    </row>
    <row r="100" spans="1:17" x14ac:dyDescent="0.35">
      <c r="A100" t="s">
        <v>243</v>
      </c>
      <c r="B100" t="s">
        <v>42</v>
      </c>
      <c r="C100" t="s">
        <v>244</v>
      </c>
      <c r="D100" t="s">
        <v>44</v>
      </c>
      <c r="E100" t="s">
        <v>48</v>
      </c>
      <c r="F100" t="s">
        <v>19</v>
      </c>
      <c r="G100" t="s">
        <v>45</v>
      </c>
      <c r="H100" t="str">
        <f t="shared" si="10"/>
        <v>FUNC</v>
      </c>
      <c r="I100" t="str">
        <f t="shared" si="11"/>
        <v>9914</v>
      </c>
      <c r="J100" t="str">
        <f t="shared" si="12"/>
        <v>2022</v>
      </c>
      <c r="K100" t="str">
        <f t="shared" si="13"/>
        <v>Julia Ferreira - Financeiro</v>
      </c>
      <c r="L100" t="str">
        <f t="shared" si="14"/>
        <v>Julia Ferreira</v>
      </c>
      <c r="M100" t="str">
        <f t="shared" si="15"/>
        <v>11906161843</v>
      </c>
      <c r="N100" t="str">
        <f t="shared" si="16"/>
        <v>Julia.Financeiro@empresa.com</v>
      </c>
      <c r="O100" t="str">
        <f t="shared" si="17"/>
        <v>Julia</v>
      </c>
      <c r="P100" t="str">
        <f t="shared" si="18"/>
        <v>Ferreira</v>
      </c>
      <c r="Q100" t="str">
        <f t="shared" si="19"/>
        <v>FUNC-2022-9914</v>
      </c>
    </row>
    <row r="101" spans="1:17" x14ac:dyDescent="0.35">
      <c r="A101" t="s">
        <v>245</v>
      </c>
      <c r="B101" t="s">
        <v>8</v>
      </c>
      <c r="C101" t="s">
        <v>246</v>
      </c>
      <c r="D101" t="s">
        <v>10</v>
      </c>
      <c r="E101" t="s">
        <v>73</v>
      </c>
      <c r="F101" t="s">
        <v>35</v>
      </c>
      <c r="G101" t="s">
        <v>13</v>
      </c>
      <c r="H101" t="str">
        <f t="shared" si="10"/>
        <v>FUNC</v>
      </c>
      <c r="I101" t="str">
        <f t="shared" si="11"/>
        <v>7052</v>
      </c>
      <c r="J101" t="str">
        <f t="shared" si="12"/>
        <v>2024</v>
      </c>
      <c r="K101" t="str">
        <f t="shared" si="13"/>
        <v>Carlos Oliveira - Vendas</v>
      </c>
      <c r="L101" t="str">
        <f t="shared" si="14"/>
        <v>Carlos Oliveira</v>
      </c>
      <c r="M101" t="str">
        <f t="shared" si="15"/>
        <v>11900925085</v>
      </c>
      <c r="N101" t="str">
        <f t="shared" si="16"/>
        <v>Carlos.Vendas@empresa.com</v>
      </c>
      <c r="O101" t="str">
        <f t="shared" si="17"/>
        <v>Carlos</v>
      </c>
      <c r="P101" t="str">
        <f t="shared" si="18"/>
        <v>Oliveira</v>
      </c>
      <c r="Q101" t="str">
        <f t="shared" si="19"/>
        <v>FUNC-2024-7052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F5917-0145-4D1B-B77C-31D65C942097}">
  <dimension ref="A1:B1"/>
  <sheetViews>
    <sheetView zoomScale="265" zoomScaleNormal="265" workbookViewId="0">
      <selection activeCell="B1" sqref="B1"/>
    </sheetView>
  </sheetViews>
  <sheetFormatPr defaultRowHeight="14.5" x14ac:dyDescent="0.35"/>
  <cols>
    <col min="1" max="1" width="35.08984375" customWidth="1"/>
  </cols>
  <sheetData>
    <row r="1" spans="1:2" x14ac:dyDescent="0.35">
      <c r="A1" t="s">
        <v>264</v>
      </c>
      <c r="B1">
        <f>LEN(A1)</f>
        <v>23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2"/>
  <sheetViews>
    <sheetView workbookViewId="0">
      <selection activeCell="A10" sqref="A10"/>
    </sheetView>
  </sheetViews>
  <sheetFormatPr defaultRowHeight="14.5" x14ac:dyDescent="0.35"/>
  <cols>
    <col min="1" max="1" width="100" customWidth="1"/>
  </cols>
  <sheetData>
    <row r="1" spans="1:1" x14ac:dyDescent="0.35">
      <c r="A1" s="1" t="s">
        <v>247</v>
      </c>
    </row>
    <row r="3" spans="1:1" x14ac:dyDescent="0.35">
      <c r="A3" t="s">
        <v>248</v>
      </c>
    </row>
    <row r="4" spans="1:1" x14ac:dyDescent="0.35">
      <c r="A4" t="s">
        <v>249</v>
      </c>
    </row>
    <row r="5" spans="1:1" x14ac:dyDescent="0.35">
      <c r="A5" t="s">
        <v>250</v>
      </c>
    </row>
    <row r="6" spans="1:1" x14ac:dyDescent="0.35">
      <c r="A6" t="s">
        <v>251</v>
      </c>
    </row>
    <row r="7" spans="1:1" x14ac:dyDescent="0.35">
      <c r="A7" t="s">
        <v>252</v>
      </c>
    </row>
    <row r="8" spans="1:1" x14ac:dyDescent="0.35">
      <c r="A8" t="s">
        <v>253</v>
      </c>
    </row>
    <row r="9" spans="1:1" x14ac:dyDescent="0.35">
      <c r="A9" t="s">
        <v>254</v>
      </c>
    </row>
    <row r="10" spans="1:1" x14ac:dyDescent="0.35">
      <c r="A10" t="s">
        <v>255</v>
      </c>
    </row>
    <row r="11" spans="1:1" x14ac:dyDescent="0.35">
      <c r="A11" t="s">
        <v>256</v>
      </c>
    </row>
    <row r="12" spans="1:1" x14ac:dyDescent="0.35">
      <c r="A12" t="s">
        <v>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Base_Dados_Texto</vt:lpstr>
      <vt:lpstr>Planilha1</vt:lpstr>
      <vt:lpstr>Exercicios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Luis Fernando Spoljaric</cp:lastModifiedBy>
  <dcterms:created xsi:type="dcterms:W3CDTF">2026-05-25T12:54:58Z</dcterms:created>
  <dcterms:modified xsi:type="dcterms:W3CDTF">2026-05-26T16:38:41Z</dcterms:modified>
</cp:coreProperties>
</file>