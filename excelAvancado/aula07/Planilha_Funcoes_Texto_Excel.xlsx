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of. Luis\Documents\GitHub\senai2026\excelAvancado\aula07\"/>
    </mc:Choice>
  </mc:AlternateContent>
  <xr:revisionPtr revIDLastSave="0" documentId="8_{6154C4BE-BB3E-4080-8F72-501FF867F95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uncoes_Texto" sheetId="1" r:id="rId1"/>
    <sheet name="Explicaco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G6" i="1"/>
  <c r="G4" i="1"/>
  <c r="G5" i="1"/>
  <c r="F6" i="1"/>
  <c r="F5" i="1"/>
  <c r="F4" i="1"/>
  <c r="E4" i="1"/>
  <c r="E5" i="1"/>
  <c r="E6" i="1"/>
  <c r="E2" i="1"/>
  <c r="E3" i="1"/>
  <c r="I6" i="1"/>
  <c r="H6" i="1"/>
  <c r="D6" i="1"/>
  <c r="I5" i="1"/>
  <c r="H5" i="1"/>
  <c r="D5" i="1"/>
  <c r="I4" i="1"/>
  <c r="H4" i="1"/>
  <c r="D4" i="1"/>
  <c r="I3" i="1"/>
  <c r="G3" i="1"/>
  <c r="F3" i="1"/>
  <c r="D3" i="1"/>
  <c r="I2" i="1"/>
  <c r="H2" i="1"/>
  <c r="G2" i="1"/>
  <c r="F2" i="1"/>
  <c r="D2" i="1"/>
</calcChain>
</file>

<file path=xl/sharedStrings.xml><?xml version="1.0" encoding="utf-8"?>
<sst xmlns="http://schemas.openxmlformats.org/spreadsheetml/2006/main" count="38" uniqueCount="32">
  <si>
    <t>Texto Base</t>
  </si>
  <si>
    <t>Nome</t>
  </si>
  <si>
    <t>Sobrenome</t>
  </si>
  <si>
    <t>CONCATENAR</t>
  </si>
  <si>
    <t>DIREITA</t>
  </si>
  <si>
    <t>ESQUERDA</t>
  </si>
  <si>
    <t>EXT.TEXTO</t>
  </si>
  <si>
    <t>ARRUMAR</t>
  </si>
  <si>
    <t>SUBSTITUIR</t>
  </si>
  <si>
    <t>PED-2026-SUL</t>
  </si>
  <si>
    <t>Ana</t>
  </si>
  <si>
    <t>Silva</t>
  </si>
  <si>
    <t>CLI-2025-NORTE</t>
  </si>
  <si>
    <t>Carlos</t>
  </si>
  <si>
    <t>Oliveira</t>
  </si>
  <si>
    <t>PROD-2024-LESTE</t>
  </si>
  <si>
    <t>Mariana</t>
  </si>
  <si>
    <t>Souza</t>
  </si>
  <si>
    <t>FUNC-2023-OESTE</t>
  </si>
  <si>
    <t>Pedro</t>
  </si>
  <si>
    <t>Lima</t>
  </si>
  <si>
    <t>VENDA-2022-CENTRO</t>
  </si>
  <si>
    <t>Julia</t>
  </si>
  <si>
    <t>Ferreira</t>
  </si>
  <si>
    <t>Função</t>
  </si>
  <si>
    <t>Descrição</t>
  </si>
  <si>
    <t>Junta textos em uma única célula.</t>
  </si>
  <si>
    <t>Retorna caracteres da direita.</t>
  </si>
  <si>
    <t>Retorna caracteres da esquerda.</t>
  </si>
  <si>
    <t>Extrai texto do meio.</t>
  </si>
  <si>
    <t>Remove espaços extras.</t>
  </si>
  <si>
    <t>Substitui parte de um texto.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</si>
</sst>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H10" sqref="H10"/>
    </sheetView>
  </sheetViews>
  <sheetFormatPr defaultRowHeight="14.5" x14ac:dyDescent="0.35"/>
  <cols>
    <col min="1" max="1" width="25" customWidth="1"/>
    <col min="2" max="3" width="15" customWidth="1"/>
    <col min="4" max="4" width="25" customWidth="1"/>
    <col min="5" max="7" width="15" customWidth="1"/>
    <col min="8" max="9" width="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tr">
        <f>CONCATENATE(B2," ",C2)</f>
        <v>Ana Silva</v>
      </c>
      <c r="E2" t="str">
        <f>RIGHT(A2,3)</f>
        <v>SUL</v>
      </c>
      <c r="F2" t="str">
        <f>LEFT(A2,3)</f>
        <v>PED</v>
      </c>
      <c r="G2" t="str">
        <f>MID(A2,5,4)</f>
        <v>2026</v>
      </c>
      <c r="H2" t="str">
        <f>TRIM("   "&amp;B2&amp;"     "&amp;C2&amp;"   ")</f>
        <v>Ana Silva</v>
      </c>
      <c r="I2" t="str">
        <f>REPLACE(A2,5,4,"9999")</f>
        <v>PED-9999-SUL</v>
      </c>
    </row>
    <row r="3" spans="1:9" x14ac:dyDescent="0.35">
      <c r="A3" t="s">
        <v>12</v>
      </c>
      <c r="B3" t="s">
        <v>13</v>
      </c>
      <c r="C3" t="s">
        <v>14</v>
      </c>
      <c r="D3" t="str">
        <f>CONCATENATE(B3," ",C3)</f>
        <v>Carlos Oliveira</v>
      </c>
      <c r="E3" t="str">
        <f>RIGHT(A3,5)</f>
        <v>NORTE</v>
      </c>
      <c r="F3" t="str">
        <f>LEFT(A3,3)</f>
        <v>CLI</v>
      </c>
      <c r="G3" t="str">
        <f>MID(A3,5,4)</f>
        <v>2025</v>
      </c>
      <c r="H3" t="str">
        <f>TRIM("   "&amp;B3&amp;"     "&amp;C3&amp;"   ")</f>
        <v>Carlos Oliveira</v>
      </c>
      <c r="I3" t="str">
        <f>REPLACE(A3,5,4,"9999")</f>
        <v>CLI-9999-NORTE</v>
      </c>
    </row>
    <row r="4" spans="1:9" x14ac:dyDescent="0.35">
      <c r="A4" t="s">
        <v>15</v>
      </c>
      <c r="B4" t="s">
        <v>16</v>
      </c>
      <c r="C4" t="s">
        <v>17</v>
      </c>
      <c r="D4" t="str">
        <f>CONCATENATE(B4," ",C4)</f>
        <v>Mariana Souza</v>
      </c>
      <c r="E4" t="str">
        <f>RIGHT(A4,5)</f>
        <v>LESTE</v>
      </c>
      <c r="F4" t="str">
        <f>LEFT(A4,4)</f>
        <v>PROD</v>
      </c>
      <c r="G4" t="str">
        <f>MID(A4,6,4)</f>
        <v>2024</v>
      </c>
      <c r="H4" t="str">
        <f>TRIM("   "&amp;B4&amp;"     "&amp;C4&amp;"   ")</f>
        <v>Mariana Souza</v>
      </c>
      <c r="I4" t="str">
        <f>REPLACE(A4,5,4,"9999")</f>
        <v>PROD99994-LESTE</v>
      </c>
    </row>
    <row r="5" spans="1:9" x14ac:dyDescent="0.35">
      <c r="A5" t="s">
        <v>18</v>
      </c>
      <c r="B5" t="s">
        <v>19</v>
      </c>
      <c r="C5" t="s">
        <v>20</v>
      </c>
      <c r="D5" t="str">
        <f>CONCATENATE(B5," ",C5)</f>
        <v>Pedro Lima</v>
      </c>
      <c r="E5" t="str">
        <f>RIGHT(A5,5)</f>
        <v>OESTE</v>
      </c>
      <c r="F5" t="str">
        <f>LEFT(A5,4)</f>
        <v>FUNC</v>
      </c>
      <c r="G5" t="str">
        <f>MID(A5,6,4)</f>
        <v>2023</v>
      </c>
      <c r="H5" t="str">
        <f>TRIM("   "&amp;B5&amp;"     "&amp;C5&amp;"   ")</f>
        <v>Pedro Lima</v>
      </c>
      <c r="I5" t="str">
        <f>REPLACE(A5,5,4,"9999")</f>
        <v>FUNC99993-OESTE</v>
      </c>
    </row>
    <row r="6" spans="1:9" x14ac:dyDescent="0.35">
      <c r="A6" t="s">
        <v>21</v>
      </c>
      <c r="B6" t="s">
        <v>22</v>
      </c>
      <c r="C6" t="s">
        <v>23</v>
      </c>
      <c r="D6" t="str">
        <f>CONCATENATE(B6," ",C6)</f>
        <v>Julia Ferreira</v>
      </c>
      <c r="E6" t="str">
        <f>RIGHT(A6,6)</f>
        <v>CENTRO</v>
      </c>
      <c r="F6" t="str">
        <f>LEFT(A6,5)</f>
        <v>VENDA</v>
      </c>
      <c r="G6" t="str">
        <f>MID(A6,7,4)</f>
        <v>2022</v>
      </c>
      <c r="H6" t="str">
        <f>TRIM("   "&amp;B6&amp;"     "&amp;C6&amp;"   ")</f>
        <v>Julia Ferreira</v>
      </c>
      <c r="I6" t="str">
        <f>REPLACE(A6,5,4,"9999")</f>
        <v>VEND999922-CENTRO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/>
  </sheetViews>
  <sheetFormatPr defaultRowHeight="14.5" x14ac:dyDescent="0.35"/>
  <cols>
    <col min="1" max="1" width="20" customWidth="1"/>
    <col min="2" max="2" width="50" customWidth="1"/>
  </cols>
  <sheetData>
    <row r="1" spans="1:2" x14ac:dyDescent="0.35">
      <c r="A1" s="1" t="s">
        <v>24</v>
      </c>
      <c r="B1" s="1" t="s">
        <v>25</v>
      </c>
    </row>
    <row r="2" spans="1:2" x14ac:dyDescent="0.35">
      <c r="A2" t="s">
        <v>3</v>
      </c>
      <c r="B2" t="s">
        <v>26</v>
      </c>
    </row>
    <row r="3" spans="1:2" x14ac:dyDescent="0.35">
      <c r="A3" t="s">
        <v>4</v>
      </c>
      <c r="B3" t="s">
        <v>27</v>
      </c>
    </row>
    <row r="4" spans="1:2" x14ac:dyDescent="0.35">
      <c r="A4" t="s">
        <v>5</v>
      </c>
      <c r="B4" t="s">
        <v>28</v>
      </c>
    </row>
    <row r="5" spans="1:2" x14ac:dyDescent="0.35">
      <c r="A5" t="s">
        <v>6</v>
      </c>
      <c r="B5" t="s">
        <v>29</v>
      </c>
    </row>
    <row r="6" spans="1:2" x14ac:dyDescent="0.35">
      <c r="A6" t="s">
        <v>7</v>
      </c>
      <c r="B6" t="s">
        <v>30</v>
      </c>
    </row>
    <row r="7" spans="1:2" x14ac:dyDescent="0.35">
      <c r="A7" t="s">
        <v>8</v>
      </c>
      <c r="B7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Funcoes_Texto</vt:lpstr>
      <vt:lpstr>Explicacoes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Fernando Spoljaric</cp:lastModifiedBy>
  <dcterms:created xsi:type="dcterms:W3CDTF">2026-05-25T12:48:47Z</dcterms:created>
  <dcterms:modified xsi:type="dcterms:W3CDTF">2026-05-25T12:52:53Z</dcterms:modified>
</cp:coreProperties>
</file>