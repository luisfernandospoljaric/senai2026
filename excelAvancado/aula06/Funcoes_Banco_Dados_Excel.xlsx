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rof. Luis\Documents\GitHub\senai2026\excelAvancado\aula06\"/>
    </mc:Choice>
  </mc:AlternateContent>
  <xr:revisionPtr revIDLastSave="0" documentId="13_ncr:1_{00F0DE71-2FED-45F3-8FD1-39A756B45918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Base_Dados" sheetId="1" r:id="rId1"/>
    <sheet name="Critérios" sheetId="2" r:id="rId2"/>
    <sheet name="Exemplos_BD" sheetId="3" r:id="rId3"/>
    <sheet name="Exercicio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4" l="1"/>
  <c r="B9" i="4"/>
  <c r="B8" i="4"/>
  <c r="B6" i="4"/>
  <c r="B3" i="4"/>
  <c r="B4" i="4"/>
  <c r="B7" i="4"/>
  <c r="B5" i="4"/>
  <c r="H7" i="2"/>
  <c r="H4" i="2"/>
  <c r="H3" i="2"/>
  <c r="H2" i="2"/>
  <c r="H1" i="2"/>
  <c r="C7" i="3"/>
  <c r="C8" i="3"/>
  <c r="C6" i="3"/>
  <c r="C5" i="3"/>
  <c r="C4" i="3"/>
  <c r="C3" i="3"/>
  <c r="C2" i="3"/>
  <c r="H8" i="2"/>
  <c r="H6" i="2"/>
  <c r="H5" i="2"/>
  <c r="C9" i="3"/>
</calcChain>
</file>

<file path=xl/sharedStrings.xml><?xml version="1.0" encoding="utf-8"?>
<sst xmlns="http://schemas.openxmlformats.org/spreadsheetml/2006/main" count="876" uniqueCount="59">
  <si>
    <t>ID</t>
  </si>
  <si>
    <t>Produto</t>
  </si>
  <si>
    <t>Categoria</t>
  </si>
  <si>
    <t>Vendedor</t>
  </si>
  <si>
    <t>Região</t>
  </si>
  <si>
    <t>Quantidade</t>
  </si>
  <si>
    <t>Valor Unitário</t>
  </si>
  <si>
    <t>Valor Total</t>
  </si>
  <si>
    <t>Teclado</t>
  </si>
  <si>
    <t>Periférico</t>
  </si>
  <si>
    <t>Ana</t>
  </si>
  <si>
    <t>Oeste</t>
  </si>
  <si>
    <t>João</t>
  </si>
  <si>
    <t>Lucas</t>
  </si>
  <si>
    <t>Norte</t>
  </si>
  <si>
    <t>Mouse</t>
  </si>
  <si>
    <t>Marina</t>
  </si>
  <si>
    <t>Cadeira</t>
  </si>
  <si>
    <t>Escritório</t>
  </si>
  <si>
    <t>Headset</t>
  </si>
  <si>
    <t>Carlos</t>
  </si>
  <si>
    <t>Mesa</t>
  </si>
  <si>
    <t>Monitor</t>
  </si>
  <si>
    <t>Hardware</t>
  </si>
  <si>
    <t>Leste</t>
  </si>
  <si>
    <t>SSD</t>
  </si>
  <si>
    <t>Sul</t>
  </si>
  <si>
    <t>Notebook</t>
  </si>
  <si>
    <t>TI</t>
  </si>
  <si>
    <t>Impressora</t>
  </si>
  <si>
    <t>Webcam</t>
  </si>
  <si>
    <t>&gt;1000</t>
  </si>
  <si>
    <t>Função</t>
  </si>
  <si>
    <t>Descrição</t>
  </si>
  <si>
    <t>Fórmula</t>
  </si>
  <si>
    <t>BDSOMA</t>
  </si>
  <si>
    <t>Soma vendas da Ana</t>
  </si>
  <si>
    <t>BDCONTAR</t>
  </si>
  <si>
    <t>Conta registros da Ana</t>
  </si>
  <si>
    <t>BDCONTARA</t>
  </si>
  <si>
    <t>Conta produtos preenchidos</t>
  </si>
  <si>
    <t>BDMÉDIA</t>
  </si>
  <si>
    <t>Média das vendas da Ana</t>
  </si>
  <si>
    <t>BDMÁXIMO</t>
  </si>
  <si>
    <t>Maior venda da Ana</t>
  </si>
  <si>
    <t>BDMÍNIMO</t>
  </si>
  <si>
    <t>Menor venda da Ana</t>
  </si>
  <si>
    <t>Soma Periféricos</t>
  </si>
  <si>
    <t>Soma acima de 1000</t>
  </si>
  <si>
    <t>Exercícios Práticos</t>
  </si>
  <si>
    <t>1. Utilize BDSOMA para calcular o total vendido por João.</t>
  </si>
  <si>
    <t>2. Utilize BDCONTAR para descobrir quantas vendas Ana realizou.</t>
  </si>
  <si>
    <t>3. Utilize BDMÉDIA para calcular a média de vendas do setor Hardware.</t>
  </si>
  <si>
    <t>4. Utilize BDMÁXIMO para encontrar a maior venda do vendedor Carlos.</t>
  </si>
  <si>
    <t>5. Utilize BDMÍNIMO para encontrar a menor venda da categoria Periférico.</t>
  </si>
  <si>
    <t>6. Crie critérios utilizando Região e Vendedor ao mesmo tempo.</t>
  </si>
  <si>
    <t>7. Faça uma soma apenas de valores acima de 5000.</t>
  </si>
  <si>
    <t>8. Conte quantos produtos da categoria TI existem na tabela.</t>
  </si>
  <si>
    <t>&gt;5000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</si>
</sst>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0" fillId="2" borderId="0" xfId="0" applyFill="1"/>
    <xf numFmtId="44" fontId="0" fillId="0" borderId="0" xfId="1" applyFont="1"/>
    <xf numFmtId="0" fontId="0" fillId="2" borderId="2" xfId="0" applyFill="1" applyBorder="1"/>
    <xf numFmtId="0" fontId="4" fillId="0" borderId="2" xfId="0" applyFont="1" applyBorder="1"/>
    <xf numFmtId="0" fontId="5" fillId="2" borderId="1" xfId="0" applyFont="1" applyFill="1" applyBorder="1"/>
    <xf numFmtId="0" fontId="3" fillId="0" borderId="0" xfId="0" applyFont="1" applyBorder="1"/>
    <xf numFmtId="0" fontId="0" fillId="0" borderId="0" xfId="0" applyBorder="1"/>
    <xf numFmtId="0" fontId="0" fillId="3" borderId="3" xfId="0" applyFill="1" applyBorder="1"/>
  </cellXfs>
  <cellStyles count="2">
    <cellStyle name="Moeda" xfId="1" builtinId="4"/>
    <cellStyle name="Normal" xfId="0" builtinId="0"/>
  </cellStyles>
  <dxfs count="2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border outline="0">
        <top style="thin">
          <color theme="1"/>
        </top>
        <bottom style="thin">
          <color theme="1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566B17-9834-49AC-972E-F64637647361}" name="Base_Dados" displayName="Base_Dados" ref="A1:H201" totalsRowShown="0" headerRowDxfId="0" tableBorderDxfId="1">
  <autoFilter ref="A1:H201" xr:uid="{AF566B17-9834-49AC-972E-F64637647361}"/>
  <tableColumns count="8">
    <tableColumn id="1" xr3:uid="{10ECA7CE-95B9-442E-B950-5D6C82938898}" name="ID"/>
    <tableColumn id="2" xr3:uid="{C07F38E2-C1DF-471C-92C2-829061B3376E}" name="Produto"/>
    <tableColumn id="3" xr3:uid="{7ABF7A3A-7AEC-46A3-BA2F-7F1B60802967}" name="Categoria"/>
    <tableColumn id="4" xr3:uid="{A13371E5-F6B8-46CB-8E48-F0414CB03278}" name="Vendedor"/>
    <tableColumn id="5" xr3:uid="{661E26E9-14AC-4AE8-A1FE-D8A6E1B85519}" name="Região"/>
    <tableColumn id="6" xr3:uid="{621B6EBC-994B-4CC3-9B2D-663353EDEC1B}" name="Quantidade"/>
    <tableColumn id="7" xr3:uid="{BC5A7C45-F5F3-4C66-BE88-811BC4A9E880}" name="Valor Unitário"/>
    <tableColumn id="8" xr3:uid="{26A6242C-9F55-4534-BF35-05CF4838C66B}" name="Valor Tota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1"/>
  <sheetViews>
    <sheetView workbookViewId="0">
      <selection activeCell="C1" sqref="C1"/>
    </sheetView>
  </sheetViews>
  <sheetFormatPr defaultRowHeight="14.5" x14ac:dyDescent="0.35"/>
  <cols>
    <col min="1" max="6" width="14.453125" customWidth="1"/>
    <col min="7" max="7" width="14.54296875" customWidth="1"/>
    <col min="8" max="8" width="14.453125" customWidth="1"/>
  </cols>
  <sheetData>
    <row r="1" spans="1:8" x14ac:dyDescent="0.3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</row>
    <row r="2" spans="1:8" x14ac:dyDescent="0.35">
      <c r="A2" s="4">
        <v>1</v>
      </c>
      <c r="B2" s="4" t="s">
        <v>8</v>
      </c>
      <c r="C2" s="4" t="s">
        <v>9</v>
      </c>
      <c r="D2" s="4" t="s">
        <v>10</v>
      </c>
      <c r="E2" s="4" t="s">
        <v>11</v>
      </c>
      <c r="F2" s="4">
        <v>8</v>
      </c>
      <c r="G2" s="4">
        <v>180</v>
      </c>
      <c r="H2" s="4">
        <v>1440</v>
      </c>
    </row>
    <row r="3" spans="1:8" x14ac:dyDescent="0.35">
      <c r="A3">
        <v>2</v>
      </c>
      <c r="B3" t="s">
        <v>8</v>
      </c>
      <c r="C3" t="s">
        <v>9</v>
      </c>
      <c r="D3" t="s">
        <v>12</v>
      </c>
      <c r="E3" t="s">
        <v>11</v>
      </c>
      <c r="F3">
        <v>7</v>
      </c>
      <c r="G3">
        <v>180</v>
      </c>
      <c r="H3">
        <v>1260</v>
      </c>
    </row>
    <row r="4" spans="1:8" x14ac:dyDescent="0.35">
      <c r="A4" s="2">
        <v>3</v>
      </c>
      <c r="B4" s="2" t="s">
        <v>8</v>
      </c>
      <c r="C4" s="2" t="s">
        <v>9</v>
      </c>
      <c r="D4" s="2" t="s">
        <v>13</v>
      </c>
      <c r="E4" s="2" t="s">
        <v>14</v>
      </c>
      <c r="F4" s="2">
        <v>1</v>
      </c>
      <c r="G4" s="2">
        <v>180</v>
      </c>
      <c r="H4" s="2">
        <v>180</v>
      </c>
    </row>
    <row r="5" spans="1:8" x14ac:dyDescent="0.35">
      <c r="A5">
        <v>4</v>
      </c>
      <c r="B5" t="s">
        <v>15</v>
      </c>
      <c r="C5" t="s">
        <v>9</v>
      </c>
      <c r="D5" t="s">
        <v>16</v>
      </c>
      <c r="E5" t="s">
        <v>14</v>
      </c>
      <c r="F5">
        <v>15</v>
      </c>
      <c r="G5">
        <v>120</v>
      </c>
      <c r="H5">
        <v>1800</v>
      </c>
    </row>
    <row r="6" spans="1:8" x14ac:dyDescent="0.35">
      <c r="A6" s="2">
        <v>5</v>
      </c>
      <c r="B6" s="2" t="s">
        <v>17</v>
      </c>
      <c r="C6" s="2" t="s">
        <v>18</v>
      </c>
      <c r="D6" s="2" t="s">
        <v>16</v>
      </c>
      <c r="E6" s="2" t="s">
        <v>14</v>
      </c>
      <c r="F6" s="2">
        <v>9</v>
      </c>
      <c r="G6" s="2">
        <v>700</v>
      </c>
      <c r="H6" s="2">
        <v>6300</v>
      </c>
    </row>
    <row r="7" spans="1:8" x14ac:dyDescent="0.35">
      <c r="A7">
        <v>6</v>
      </c>
      <c r="B7" t="s">
        <v>19</v>
      </c>
      <c r="C7" t="s">
        <v>9</v>
      </c>
      <c r="D7" t="s">
        <v>20</v>
      </c>
      <c r="E7" t="s">
        <v>14</v>
      </c>
      <c r="F7">
        <v>8</v>
      </c>
      <c r="G7">
        <v>250</v>
      </c>
      <c r="H7">
        <v>2000</v>
      </c>
    </row>
    <row r="8" spans="1:8" x14ac:dyDescent="0.35">
      <c r="A8" s="2">
        <v>7</v>
      </c>
      <c r="B8" s="2" t="s">
        <v>21</v>
      </c>
      <c r="C8" s="2" t="s">
        <v>18</v>
      </c>
      <c r="D8" s="2" t="s">
        <v>10</v>
      </c>
      <c r="E8" s="2" t="s">
        <v>11</v>
      </c>
      <c r="F8" s="2">
        <v>3</v>
      </c>
      <c r="G8" s="2">
        <v>900</v>
      </c>
      <c r="H8" s="2">
        <v>2700</v>
      </c>
    </row>
    <row r="9" spans="1:8" x14ac:dyDescent="0.35">
      <c r="A9">
        <v>8</v>
      </c>
      <c r="B9" t="s">
        <v>22</v>
      </c>
      <c r="C9" t="s">
        <v>23</v>
      </c>
      <c r="D9" t="s">
        <v>13</v>
      </c>
      <c r="E9" t="s">
        <v>24</v>
      </c>
      <c r="F9">
        <v>15</v>
      </c>
      <c r="G9">
        <v>900</v>
      </c>
      <c r="H9">
        <v>13500</v>
      </c>
    </row>
    <row r="10" spans="1:8" x14ac:dyDescent="0.35">
      <c r="A10" s="2">
        <v>9</v>
      </c>
      <c r="B10" s="2" t="s">
        <v>25</v>
      </c>
      <c r="C10" s="2" t="s">
        <v>23</v>
      </c>
      <c r="D10" s="2" t="s">
        <v>20</v>
      </c>
      <c r="E10" s="2" t="s">
        <v>26</v>
      </c>
      <c r="F10" s="2">
        <v>12</v>
      </c>
      <c r="G10" s="2">
        <v>350</v>
      </c>
      <c r="H10" s="2">
        <v>4200</v>
      </c>
    </row>
    <row r="11" spans="1:8" x14ac:dyDescent="0.35">
      <c r="A11">
        <v>10</v>
      </c>
      <c r="B11" t="s">
        <v>21</v>
      </c>
      <c r="C11" t="s">
        <v>18</v>
      </c>
      <c r="D11" t="s">
        <v>13</v>
      </c>
      <c r="E11" t="s">
        <v>14</v>
      </c>
      <c r="F11">
        <v>8</v>
      </c>
      <c r="G11">
        <v>900</v>
      </c>
      <c r="H11">
        <v>7200</v>
      </c>
    </row>
    <row r="12" spans="1:8" x14ac:dyDescent="0.35">
      <c r="A12" s="2">
        <v>11</v>
      </c>
      <c r="B12" s="2" t="s">
        <v>27</v>
      </c>
      <c r="C12" s="2" t="s">
        <v>28</v>
      </c>
      <c r="D12" s="2" t="s">
        <v>10</v>
      </c>
      <c r="E12" s="2" t="s">
        <v>24</v>
      </c>
      <c r="F12" s="2">
        <v>9</v>
      </c>
      <c r="G12" s="2">
        <v>4500</v>
      </c>
      <c r="H12" s="2">
        <v>40500</v>
      </c>
    </row>
    <row r="13" spans="1:8" x14ac:dyDescent="0.35">
      <c r="A13">
        <v>12</v>
      </c>
      <c r="B13" t="s">
        <v>21</v>
      </c>
      <c r="C13" t="s">
        <v>18</v>
      </c>
      <c r="D13" t="s">
        <v>12</v>
      </c>
      <c r="E13" t="s">
        <v>11</v>
      </c>
      <c r="F13">
        <v>3</v>
      </c>
      <c r="G13">
        <v>900</v>
      </c>
      <c r="H13">
        <v>2700</v>
      </c>
    </row>
    <row r="14" spans="1:8" x14ac:dyDescent="0.35">
      <c r="A14" s="2">
        <v>13</v>
      </c>
      <c r="B14" s="2" t="s">
        <v>29</v>
      </c>
      <c r="C14" s="2" t="s">
        <v>28</v>
      </c>
      <c r="D14" s="2" t="s">
        <v>13</v>
      </c>
      <c r="E14" s="2" t="s">
        <v>14</v>
      </c>
      <c r="F14" s="2">
        <v>9</v>
      </c>
      <c r="G14" s="2">
        <v>1200</v>
      </c>
      <c r="H14" s="2">
        <v>10800</v>
      </c>
    </row>
    <row r="15" spans="1:8" x14ac:dyDescent="0.35">
      <c r="A15">
        <v>14</v>
      </c>
      <c r="B15" t="s">
        <v>15</v>
      </c>
      <c r="C15" t="s">
        <v>9</v>
      </c>
      <c r="D15" t="s">
        <v>20</v>
      </c>
      <c r="E15" t="s">
        <v>14</v>
      </c>
      <c r="F15">
        <v>2</v>
      </c>
      <c r="G15">
        <v>120</v>
      </c>
      <c r="H15">
        <v>240</v>
      </c>
    </row>
    <row r="16" spans="1:8" x14ac:dyDescent="0.35">
      <c r="A16" s="2">
        <v>15</v>
      </c>
      <c r="B16" s="2" t="s">
        <v>22</v>
      </c>
      <c r="C16" s="2" t="s">
        <v>23</v>
      </c>
      <c r="D16" s="2" t="s">
        <v>12</v>
      </c>
      <c r="E16" s="2" t="s">
        <v>26</v>
      </c>
      <c r="F16" s="2">
        <v>11</v>
      </c>
      <c r="G16" s="2">
        <v>900</v>
      </c>
      <c r="H16" s="2">
        <v>9900</v>
      </c>
    </row>
    <row r="17" spans="1:8" x14ac:dyDescent="0.35">
      <c r="A17">
        <v>16</v>
      </c>
      <c r="B17" t="s">
        <v>30</v>
      </c>
      <c r="C17" t="s">
        <v>9</v>
      </c>
      <c r="D17" t="s">
        <v>12</v>
      </c>
      <c r="E17" t="s">
        <v>11</v>
      </c>
      <c r="F17">
        <v>4</v>
      </c>
      <c r="G17">
        <v>300</v>
      </c>
      <c r="H17">
        <v>1200</v>
      </c>
    </row>
    <row r="18" spans="1:8" x14ac:dyDescent="0.35">
      <c r="A18" s="2">
        <v>17</v>
      </c>
      <c r="B18" s="2" t="s">
        <v>30</v>
      </c>
      <c r="C18" s="2" t="s">
        <v>9</v>
      </c>
      <c r="D18" s="2" t="s">
        <v>20</v>
      </c>
      <c r="E18" s="2" t="s">
        <v>26</v>
      </c>
      <c r="F18" s="2">
        <v>13</v>
      </c>
      <c r="G18" s="2">
        <v>300</v>
      </c>
      <c r="H18" s="2">
        <v>3900</v>
      </c>
    </row>
    <row r="19" spans="1:8" x14ac:dyDescent="0.35">
      <c r="A19">
        <v>18</v>
      </c>
      <c r="B19" t="s">
        <v>29</v>
      </c>
      <c r="C19" t="s">
        <v>28</v>
      </c>
      <c r="D19" t="s">
        <v>13</v>
      </c>
      <c r="E19" t="s">
        <v>26</v>
      </c>
      <c r="F19">
        <v>15</v>
      </c>
      <c r="G19">
        <v>1200</v>
      </c>
      <c r="H19">
        <v>18000</v>
      </c>
    </row>
    <row r="20" spans="1:8" x14ac:dyDescent="0.35">
      <c r="A20" s="2">
        <v>19</v>
      </c>
      <c r="B20" s="2" t="s">
        <v>22</v>
      </c>
      <c r="C20" s="2" t="s">
        <v>23</v>
      </c>
      <c r="D20" s="2" t="s">
        <v>12</v>
      </c>
      <c r="E20" s="2" t="s">
        <v>24</v>
      </c>
      <c r="F20" s="2">
        <v>1</v>
      </c>
      <c r="G20" s="2">
        <v>900</v>
      </c>
      <c r="H20" s="2">
        <v>900</v>
      </c>
    </row>
    <row r="21" spans="1:8" x14ac:dyDescent="0.35">
      <c r="A21">
        <v>20</v>
      </c>
      <c r="B21" t="s">
        <v>21</v>
      </c>
      <c r="C21" t="s">
        <v>18</v>
      </c>
      <c r="D21" t="s">
        <v>16</v>
      </c>
      <c r="E21" t="s">
        <v>26</v>
      </c>
      <c r="F21">
        <v>2</v>
      </c>
      <c r="G21">
        <v>900</v>
      </c>
      <c r="H21">
        <v>1800</v>
      </c>
    </row>
    <row r="22" spans="1:8" x14ac:dyDescent="0.35">
      <c r="A22" s="2">
        <v>21</v>
      </c>
      <c r="B22" s="2" t="s">
        <v>30</v>
      </c>
      <c r="C22" s="2" t="s">
        <v>9</v>
      </c>
      <c r="D22" s="2" t="s">
        <v>13</v>
      </c>
      <c r="E22" s="2" t="s">
        <v>24</v>
      </c>
      <c r="F22" s="2">
        <v>13</v>
      </c>
      <c r="G22" s="2">
        <v>300</v>
      </c>
      <c r="H22" s="2">
        <v>3900</v>
      </c>
    </row>
    <row r="23" spans="1:8" x14ac:dyDescent="0.35">
      <c r="A23">
        <v>22</v>
      </c>
      <c r="B23" t="s">
        <v>8</v>
      </c>
      <c r="C23" t="s">
        <v>9</v>
      </c>
      <c r="D23" t="s">
        <v>10</v>
      </c>
      <c r="E23" t="s">
        <v>14</v>
      </c>
      <c r="F23">
        <v>9</v>
      </c>
      <c r="G23">
        <v>180</v>
      </c>
      <c r="H23">
        <v>1620</v>
      </c>
    </row>
    <row r="24" spans="1:8" x14ac:dyDescent="0.35">
      <c r="A24" s="2">
        <v>23</v>
      </c>
      <c r="B24" s="2" t="s">
        <v>15</v>
      </c>
      <c r="C24" s="2" t="s">
        <v>9</v>
      </c>
      <c r="D24" s="2" t="s">
        <v>12</v>
      </c>
      <c r="E24" s="2" t="s">
        <v>24</v>
      </c>
      <c r="F24" s="2">
        <v>14</v>
      </c>
      <c r="G24" s="2">
        <v>120</v>
      </c>
      <c r="H24" s="2">
        <v>1680</v>
      </c>
    </row>
    <row r="25" spans="1:8" x14ac:dyDescent="0.35">
      <c r="A25">
        <v>24</v>
      </c>
      <c r="B25" t="s">
        <v>21</v>
      </c>
      <c r="C25" t="s">
        <v>18</v>
      </c>
      <c r="D25" t="s">
        <v>16</v>
      </c>
      <c r="E25" t="s">
        <v>11</v>
      </c>
      <c r="F25">
        <v>15</v>
      </c>
      <c r="G25">
        <v>900</v>
      </c>
      <c r="H25">
        <v>13500</v>
      </c>
    </row>
    <row r="26" spans="1:8" x14ac:dyDescent="0.35">
      <c r="A26" s="2">
        <v>25</v>
      </c>
      <c r="B26" s="2" t="s">
        <v>8</v>
      </c>
      <c r="C26" s="2" t="s">
        <v>9</v>
      </c>
      <c r="D26" s="2" t="s">
        <v>20</v>
      </c>
      <c r="E26" s="2" t="s">
        <v>14</v>
      </c>
      <c r="F26" s="2">
        <v>6</v>
      </c>
      <c r="G26" s="2">
        <v>180</v>
      </c>
      <c r="H26" s="2">
        <v>1080</v>
      </c>
    </row>
    <row r="27" spans="1:8" x14ac:dyDescent="0.35">
      <c r="A27">
        <v>26</v>
      </c>
      <c r="B27" t="s">
        <v>27</v>
      </c>
      <c r="C27" t="s">
        <v>28</v>
      </c>
      <c r="D27" t="s">
        <v>20</v>
      </c>
      <c r="E27" t="s">
        <v>11</v>
      </c>
      <c r="F27">
        <v>9</v>
      </c>
      <c r="G27">
        <v>4500</v>
      </c>
      <c r="H27">
        <v>40500</v>
      </c>
    </row>
    <row r="28" spans="1:8" x14ac:dyDescent="0.35">
      <c r="A28" s="2">
        <v>27</v>
      </c>
      <c r="B28" s="2" t="s">
        <v>30</v>
      </c>
      <c r="C28" s="2" t="s">
        <v>9</v>
      </c>
      <c r="D28" s="2" t="s">
        <v>20</v>
      </c>
      <c r="E28" s="2" t="s">
        <v>14</v>
      </c>
      <c r="F28" s="2">
        <v>13</v>
      </c>
      <c r="G28" s="2">
        <v>300</v>
      </c>
      <c r="H28" s="2">
        <v>3900</v>
      </c>
    </row>
    <row r="29" spans="1:8" x14ac:dyDescent="0.35">
      <c r="A29">
        <v>28</v>
      </c>
      <c r="B29" t="s">
        <v>27</v>
      </c>
      <c r="C29" t="s">
        <v>28</v>
      </c>
      <c r="D29" t="s">
        <v>10</v>
      </c>
      <c r="E29" t="s">
        <v>11</v>
      </c>
      <c r="F29">
        <v>7</v>
      </c>
      <c r="G29">
        <v>4500</v>
      </c>
      <c r="H29">
        <v>31500</v>
      </c>
    </row>
    <row r="30" spans="1:8" x14ac:dyDescent="0.35">
      <c r="A30" s="2">
        <v>29</v>
      </c>
      <c r="B30" s="2" t="s">
        <v>25</v>
      </c>
      <c r="C30" s="2" t="s">
        <v>23</v>
      </c>
      <c r="D30" s="2" t="s">
        <v>13</v>
      </c>
      <c r="E30" s="2" t="s">
        <v>26</v>
      </c>
      <c r="F30" s="2">
        <v>9</v>
      </c>
      <c r="G30" s="2">
        <v>350</v>
      </c>
      <c r="H30" s="2">
        <v>3150</v>
      </c>
    </row>
    <row r="31" spans="1:8" x14ac:dyDescent="0.35">
      <c r="A31">
        <v>30</v>
      </c>
      <c r="B31" t="s">
        <v>27</v>
      </c>
      <c r="C31" t="s">
        <v>28</v>
      </c>
      <c r="D31" t="s">
        <v>13</v>
      </c>
      <c r="E31" t="s">
        <v>11</v>
      </c>
      <c r="F31">
        <v>4</v>
      </c>
      <c r="G31">
        <v>4500</v>
      </c>
      <c r="H31">
        <v>18000</v>
      </c>
    </row>
    <row r="32" spans="1:8" x14ac:dyDescent="0.35">
      <c r="A32" s="2">
        <v>31</v>
      </c>
      <c r="B32" s="2" t="s">
        <v>8</v>
      </c>
      <c r="C32" s="2" t="s">
        <v>9</v>
      </c>
      <c r="D32" s="2" t="s">
        <v>13</v>
      </c>
      <c r="E32" s="2" t="s">
        <v>11</v>
      </c>
      <c r="F32" s="2">
        <v>10</v>
      </c>
      <c r="G32" s="2">
        <v>180</v>
      </c>
      <c r="H32" s="2">
        <v>1800</v>
      </c>
    </row>
    <row r="33" spans="1:8" x14ac:dyDescent="0.35">
      <c r="A33">
        <v>32</v>
      </c>
      <c r="B33" t="s">
        <v>21</v>
      </c>
      <c r="C33" t="s">
        <v>18</v>
      </c>
      <c r="D33" t="s">
        <v>20</v>
      </c>
      <c r="E33" t="s">
        <v>11</v>
      </c>
      <c r="F33">
        <v>4</v>
      </c>
      <c r="G33">
        <v>900</v>
      </c>
      <c r="H33">
        <v>3600</v>
      </c>
    </row>
    <row r="34" spans="1:8" x14ac:dyDescent="0.35">
      <c r="A34" s="2">
        <v>33</v>
      </c>
      <c r="B34" s="2" t="s">
        <v>17</v>
      </c>
      <c r="C34" s="2" t="s">
        <v>18</v>
      </c>
      <c r="D34" s="2" t="s">
        <v>16</v>
      </c>
      <c r="E34" s="2" t="s">
        <v>24</v>
      </c>
      <c r="F34" s="2">
        <v>1</v>
      </c>
      <c r="G34" s="2">
        <v>700</v>
      </c>
      <c r="H34" s="2">
        <v>700</v>
      </c>
    </row>
    <row r="35" spans="1:8" x14ac:dyDescent="0.35">
      <c r="A35">
        <v>34</v>
      </c>
      <c r="B35" t="s">
        <v>22</v>
      </c>
      <c r="C35" t="s">
        <v>23</v>
      </c>
      <c r="D35" t="s">
        <v>16</v>
      </c>
      <c r="E35" t="s">
        <v>26</v>
      </c>
      <c r="F35">
        <v>13</v>
      </c>
      <c r="G35">
        <v>900</v>
      </c>
      <c r="H35">
        <v>11700</v>
      </c>
    </row>
    <row r="36" spans="1:8" x14ac:dyDescent="0.35">
      <c r="A36" s="2">
        <v>35</v>
      </c>
      <c r="B36" s="2" t="s">
        <v>25</v>
      </c>
      <c r="C36" s="2" t="s">
        <v>23</v>
      </c>
      <c r="D36" s="2" t="s">
        <v>16</v>
      </c>
      <c r="E36" s="2" t="s">
        <v>11</v>
      </c>
      <c r="F36" s="2">
        <v>10</v>
      </c>
      <c r="G36" s="2">
        <v>350</v>
      </c>
      <c r="H36" s="2">
        <v>3500</v>
      </c>
    </row>
    <row r="37" spans="1:8" x14ac:dyDescent="0.35">
      <c r="A37">
        <v>36</v>
      </c>
      <c r="B37" t="s">
        <v>8</v>
      </c>
      <c r="C37" t="s">
        <v>9</v>
      </c>
      <c r="D37" t="s">
        <v>10</v>
      </c>
      <c r="E37" t="s">
        <v>26</v>
      </c>
      <c r="F37">
        <v>6</v>
      </c>
      <c r="G37">
        <v>180</v>
      </c>
      <c r="H37">
        <v>1080</v>
      </c>
    </row>
    <row r="38" spans="1:8" x14ac:dyDescent="0.35">
      <c r="A38" s="2">
        <v>37</v>
      </c>
      <c r="B38" s="2" t="s">
        <v>8</v>
      </c>
      <c r="C38" s="2" t="s">
        <v>9</v>
      </c>
      <c r="D38" s="2" t="s">
        <v>20</v>
      </c>
      <c r="E38" s="2" t="s">
        <v>24</v>
      </c>
      <c r="F38" s="2">
        <v>10</v>
      </c>
      <c r="G38" s="2">
        <v>180</v>
      </c>
      <c r="H38" s="2">
        <v>1800</v>
      </c>
    </row>
    <row r="39" spans="1:8" x14ac:dyDescent="0.35">
      <c r="A39">
        <v>38</v>
      </c>
      <c r="B39" t="s">
        <v>15</v>
      </c>
      <c r="C39" t="s">
        <v>9</v>
      </c>
      <c r="D39" t="s">
        <v>20</v>
      </c>
      <c r="E39" t="s">
        <v>24</v>
      </c>
      <c r="F39">
        <v>15</v>
      </c>
      <c r="G39">
        <v>120</v>
      </c>
      <c r="H39">
        <v>1800</v>
      </c>
    </row>
    <row r="40" spans="1:8" x14ac:dyDescent="0.35">
      <c r="A40" s="2">
        <v>39</v>
      </c>
      <c r="B40" s="2" t="s">
        <v>15</v>
      </c>
      <c r="C40" s="2" t="s">
        <v>9</v>
      </c>
      <c r="D40" s="2" t="s">
        <v>12</v>
      </c>
      <c r="E40" s="2" t="s">
        <v>26</v>
      </c>
      <c r="F40" s="2">
        <v>15</v>
      </c>
      <c r="G40" s="2">
        <v>120</v>
      </c>
      <c r="H40" s="2">
        <v>1800</v>
      </c>
    </row>
    <row r="41" spans="1:8" x14ac:dyDescent="0.35">
      <c r="A41">
        <v>40</v>
      </c>
      <c r="B41" t="s">
        <v>8</v>
      </c>
      <c r="C41" t="s">
        <v>9</v>
      </c>
      <c r="D41" t="s">
        <v>13</v>
      </c>
      <c r="E41" t="s">
        <v>24</v>
      </c>
      <c r="F41">
        <v>12</v>
      </c>
      <c r="G41">
        <v>180</v>
      </c>
      <c r="H41">
        <v>2160</v>
      </c>
    </row>
    <row r="42" spans="1:8" x14ac:dyDescent="0.35">
      <c r="A42" s="2">
        <v>41</v>
      </c>
      <c r="B42" s="2" t="s">
        <v>8</v>
      </c>
      <c r="C42" s="2" t="s">
        <v>9</v>
      </c>
      <c r="D42" s="2" t="s">
        <v>12</v>
      </c>
      <c r="E42" s="2" t="s">
        <v>24</v>
      </c>
      <c r="F42" s="2">
        <v>4</v>
      </c>
      <c r="G42" s="2">
        <v>180</v>
      </c>
      <c r="H42" s="2">
        <v>720</v>
      </c>
    </row>
    <row r="43" spans="1:8" x14ac:dyDescent="0.35">
      <c r="A43">
        <v>42</v>
      </c>
      <c r="B43" t="s">
        <v>21</v>
      </c>
      <c r="C43" t="s">
        <v>18</v>
      </c>
      <c r="D43" t="s">
        <v>13</v>
      </c>
      <c r="E43" t="s">
        <v>11</v>
      </c>
      <c r="F43">
        <v>12</v>
      </c>
      <c r="G43">
        <v>900</v>
      </c>
      <c r="H43">
        <v>10800</v>
      </c>
    </row>
    <row r="44" spans="1:8" x14ac:dyDescent="0.35">
      <c r="A44" s="2">
        <v>43</v>
      </c>
      <c r="B44" s="2" t="s">
        <v>27</v>
      </c>
      <c r="C44" s="2" t="s">
        <v>28</v>
      </c>
      <c r="D44" s="2" t="s">
        <v>20</v>
      </c>
      <c r="E44" s="2" t="s">
        <v>26</v>
      </c>
      <c r="F44" s="2">
        <v>13</v>
      </c>
      <c r="G44" s="2">
        <v>4500</v>
      </c>
      <c r="H44" s="2">
        <v>58500</v>
      </c>
    </row>
    <row r="45" spans="1:8" x14ac:dyDescent="0.35">
      <c r="A45">
        <v>44</v>
      </c>
      <c r="B45" t="s">
        <v>29</v>
      </c>
      <c r="C45" t="s">
        <v>28</v>
      </c>
      <c r="D45" t="s">
        <v>10</v>
      </c>
      <c r="E45" t="s">
        <v>11</v>
      </c>
      <c r="F45">
        <v>1</v>
      </c>
      <c r="G45">
        <v>1200</v>
      </c>
      <c r="H45">
        <v>1200</v>
      </c>
    </row>
    <row r="46" spans="1:8" x14ac:dyDescent="0.35">
      <c r="A46" s="2">
        <v>45</v>
      </c>
      <c r="B46" s="2" t="s">
        <v>25</v>
      </c>
      <c r="C46" s="2" t="s">
        <v>23</v>
      </c>
      <c r="D46" s="2" t="s">
        <v>13</v>
      </c>
      <c r="E46" s="2" t="s">
        <v>26</v>
      </c>
      <c r="F46" s="2">
        <v>9</v>
      </c>
      <c r="G46" s="2">
        <v>350</v>
      </c>
      <c r="H46" s="2">
        <v>3150</v>
      </c>
    </row>
    <row r="47" spans="1:8" x14ac:dyDescent="0.35">
      <c r="A47">
        <v>46</v>
      </c>
      <c r="B47" t="s">
        <v>17</v>
      </c>
      <c r="C47" t="s">
        <v>18</v>
      </c>
      <c r="D47" t="s">
        <v>12</v>
      </c>
      <c r="E47" t="s">
        <v>26</v>
      </c>
      <c r="F47">
        <v>11</v>
      </c>
      <c r="G47">
        <v>700</v>
      </c>
      <c r="H47">
        <v>7700</v>
      </c>
    </row>
    <row r="48" spans="1:8" x14ac:dyDescent="0.35">
      <c r="A48" s="2">
        <v>47</v>
      </c>
      <c r="B48" s="2" t="s">
        <v>19</v>
      </c>
      <c r="C48" s="2" t="s">
        <v>9</v>
      </c>
      <c r="D48" s="2" t="s">
        <v>16</v>
      </c>
      <c r="E48" s="2" t="s">
        <v>26</v>
      </c>
      <c r="F48" s="2">
        <v>7</v>
      </c>
      <c r="G48" s="2">
        <v>250</v>
      </c>
      <c r="H48" s="2">
        <v>1750</v>
      </c>
    </row>
    <row r="49" spans="1:8" x14ac:dyDescent="0.35">
      <c r="A49">
        <v>48</v>
      </c>
      <c r="B49" t="s">
        <v>29</v>
      </c>
      <c r="C49" t="s">
        <v>28</v>
      </c>
      <c r="D49" t="s">
        <v>16</v>
      </c>
      <c r="E49" t="s">
        <v>14</v>
      </c>
      <c r="F49">
        <v>6</v>
      </c>
      <c r="G49">
        <v>1200</v>
      </c>
      <c r="H49">
        <v>7200</v>
      </c>
    </row>
    <row r="50" spans="1:8" x14ac:dyDescent="0.35">
      <c r="A50" s="2">
        <v>49</v>
      </c>
      <c r="B50" s="2" t="s">
        <v>22</v>
      </c>
      <c r="C50" s="2" t="s">
        <v>23</v>
      </c>
      <c r="D50" s="2" t="s">
        <v>13</v>
      </c>
      <c r="E50" s="2" t="s">
        <v>26</v>
      </c>
      <c r="F50" s="2">
        <v>8</v>
      </c>
      <c r="G50" s="2">
        <v>900</v>
      </c>
      <c r="H50" s="2">
        <v>7200</v>
      </c>
    </row>
    <row r="51" spans="1:8" x14ac:dyDescent="0.35">
      <c r="A51">
        <v>50</v>
      </c>
      <c r="B51" t="s">
        <v>19</v>
      </c>
      <c r="C51" t="s">
        <v>9</v>
      </c>
      <c r="D51" t="s">
        <v>20</v>
      </c>
      <c r="E51" t="s">
        <v>11</v>
      </c>
      <c r="F51">
        <v>1</v>
      </c>
      <c r="G51">
        <v>250</v>
      </c>
      <c r="H51">
        <v>250</v>
      </c>
    </row>
    <row r="52" spans="1:8" x14ac:dyDescent="0.35">
      <c r="A52" s="2">
        <v>51</v>
      </c>
      <c r="B52" s="2" t="s">
        <v>30</v>
      </c>
      <c r="C52" s="2" t="s">
        <v>9</v>
      </c>
      <c r="D52" s="2" t="s">
        <v>10</v>
      </c>
      <c r="E52" s="2" t="s">
        <v>26</v>
      </c>
      <c r="F52" s="2">
        <v>4</v>
      </c>
      <c r="G52" s="2">
        <v>300</v>
      </c>
      <c r="H52" s="2">
        <v>1200</v>
      </c>
    </row>
    <row r="53" spans="1:8" x14ac:dyDescent="0.35">
      <c r="A53">
        <v>52</v>
      </c>
      <c r="B53" t="s">
        <v>27</v>
      </c>
      <c r="C53" t="s">
        <v>28</v>
      </c>
      <c r="D53" t="s">
        <v>12</v>
      </c>
      <c r="E53" t="s">
        <v>11</v>
      </c>
      <c r="F53">
        <v>4</v>
      </c>
      <c r="G53">
        <v>4500</v>
      </c>
      <c r="H53">
        <v>18000</v>
      </c>
    </row>
    <row r="54" spans="1:8" x14ac:dyDescent="0.35">
      <c r="A54" s="2">
        <v>53</v>
      </c>
      <c r="B54" s="2" t="s">
        <v>19</v>
      </c>
      <c r="C54" s="2" t="s">
        <v>9</v>
      </c>
      <c r="D54" s="2" t="s">
        <v>16</v>
      </c>
      <c r="E54" s="2" t="s">
        <v>11</v>
      </c>
      <c r="F54" s="2">
        <v>12</v>
      </c>
      <c r="G54" s="2">
        <v>250</v>
      </c>
      <c r="H54" s="2">
        <v>3000</v>
      </c>
    </row>
    <row r="55" spans="1:8" x14ac:dyDescent="0.35">
      <c r="A55">
        <v>54</v>
      </c>
      <c r="B55" t="s">
        <v>17</v>
      </c>
      <c r="C55" t="s">
        <v>18</v>
      </c>
      <c r="D55" t="s">
        <v>12</v>
      </c>
      <c r="E55" t="s">
        <v>14</v>
      </c>
      <c r="F55">
        <v>1</v>
      </c>
      <c r="G55">
        <v>700</v>
      </c>
      <c r="H55">
        <v>700</v>
      </c>
    </row>
    <row r="56" spans="1:8" x14ac:dyDescent="0.35">
      <c r="A56" s="2">
        <v>55</v>
      </c>
      <c r="B56" s="2" t="s">
        <v>27</v>
      </c>
      <c r="C56" s="2" t="s">
        <v>28</v>
      </c>
      <c r="D56" s="2" t="s">
        <v>20</v>
      </c>
      <c r="E56" s="2" t="s">
        <v>14</v>
      </c>
      <c r="F56" s="2">
        <v>12</v>
      </c>
      <c r="G56" s="2">
        <v>4500</v>
      </c>
      <c r="H56" s="2">
        <v>54000</v>
      </c>
    </row>
    <row r="57" spans="1:8" x14ac:dyDescent="0.35">
      <c r="A57">
        <v>56</v>
      </c>
      <c r="B57" t="s">
        <v>29</v>
      </c>
      <c r="C57" t="s">
        <v>28</v>
      </c>
      <c r="D57" t="s">
        <v>13</v>
      </c>
      <c r="E57" t="s">
        <v>14</v>
      </c>
      <c r="F57">
        <v>15</v>
      </c>
      <c r="G57">
        <v>1200</v>
      </c>
      <c r="H57">
        <v>18000</v>
      </c>
    </row>
    <row r="58" spans="1:8" x14ac:dyDescent="0.35">
      <c r="A58" s="2">
        <v>57</v>
      </c>
      <c r="B58" s="2" t="s">
        <v>30</v>
      </c>
      <c r="C58" s="2" t="s">
        <v>9</v>
      </c>
      <c r="D58" s="2" t="s">
        <v>13</v>
      </c>
      <c r="E58" s="2" t="s">
        <v>14</v>
      </c>
      <c r="F58" s="2">
        <v>3</v>
      </c>
      <c r="G58" s="2">
        <v>300</v>
      </c>
      <c r="H58" s="2">
        <v>900</v>
      </c>
    </row>
    <row r="59" spans="1:8" x14ac:dyDescent="0.35">
      <c r="A59">
        <v>58</v>
      </c>
      <c r="B59" t="s">
        <v>21</v>
      </c>
      <c r="C59" t="s">
        <v>18</v>
      </c>
      <c r="D59" t="s">
        <v>10</v>
      </c>
      <c r="E59" t="s">
        <v>26</v>
      </c>
      <c r="F59">
        <v>12</v>
      </c>
      <c r="G59">
        <v>900</v>
      </c>
      <c r="H59">
        <v>10800</v>
      </c>
    </row>
    <row r="60" spans="1:8" x14ac:dyDescent="0.35">
      <c r="A60" s="2">
        <v>59</v>
      </c>
      <c r="B60" s="2" t="s">
        <v>30</v>
      </c>
      <c r="C60" s="2" t="s">
        <v>9</v>
      </c>
      <c r="D60" s="2" t="s">
        <v>13</v>
      </c>
      <c r="E60" s="2" t="s">
        <v>14</v>
      </c>
      <c r="F60" s="2">
        <v>6</v>
      </c>
      <c r="G60" s="2">
        <v>300</v>
      </c>
      <c r="H60" s="2">
        <v>1800</v>
      </c>
    </row>
    <row r="61" spans="1:8" x14ac:dyDescent="0.35">
      <c r="A61">
        <v>60</v>
      </c>
      <c r="B61" t="s">
        <v>17</v>
      </c>
      <c r="C61" t="s">
        <v>18</v>
      </c>
      <c r="D61" t="s">
        <v>20</v>
      </c>
      <c r="E61" t="s">
        <v>11</v>
      </c>
      <c r="F61">
        <v>2</v>
      </c>
      <c r="G61">
        <v>700</v>
      </c>
      <c r="H61">
        <v>1400</v>
      </c>
    </row>
    <row r="62" spans="1:8" x14ac:dyDescent="0.35">
      <c r="A62" s="2">
        <v>61</v>
      </c>
      <c r="B62" s="2" t="s">
        <v>8</v>
      </c>
      <c r="C62" s="2" t="s">
        <v>9</v>
      </c>
      <c r="D62" s="2" t="s">
        <v>10</v>
      </c>
      <c r="E62" s="2" t="s">
        <v>11</v>
      </c>
      <c r="F62" s="2">
        <v>3</v>
      </c>
      <c r="G62" s="2">
        <v>180</v>
      </c>
      <c r="H62" s="2">
        <v>540</v>
      </c>
    </row>
    <row r="63" spans="1:8" x14ac:dyDescent="0.35">
      <c r="A63">
        <v>62</v>
      </c>
      <c r="B63" t="s">
        <v>21</v>
      </c>
      <c r="C63" t="s">
        <v>18</v>
      </c>
      <c r="D63" t="s">
        <v>16</v>
      </c>
      <c r="E63" t="s">
        <v>24</v>
      </c>
      <c r="F63">
        <v>3</v>
      </c>
      <c r="G63">
        <v>900</v>
      </c>
      <c r="H63">
        <v>2700</v>
      </c>
    </row>
    <row r="64" spans="1:8" x14ac:dyDescent="0.35">
      <c r="A64" s="2">
        <v>63</v>
      </c>
      <c r="B64" s="2" t="s">
        <v>17</v>
      </c>
      <c r="C64" s="2" t="s">
        <v>18</v>
      </c>
      <c r="D64" s="2" t="s">
        <v>10</v>
      </c>
      <c r="E64" s="2" t="s">
        <v>11</v>
      </c>
      <c r="F64" s="2">
        <v>14</v>
      </c>
      <c r="G64" s="2">
        <v>700</v>
      </c>
      <c r="H64" s="2">
        <v>9800</v>
      </c>
    </row>
    <row r="65" spans="1:8" x14ac:dyDescent="0.35">
      <c r="A65">
        <v>64</v>
      </c>
      <c r="B65" t="s">
        <v>17</v>
      </c>
      <c r="C65" t="s">
        <v>18</v>
      </c>
      <c r="D65" t="s">
        <v>12</v>
      </c>
      <c r="E65" t="s">
        <v>14</v>
      </c>
      <c r="F65">
        <v>14</v>
      </c>
      <c r="G65">
        <v>700</v>
      </c>
      <c r="H65">
        <v>9800</v>
      </c>
    </row>
    <row r="66" spans="1:8" x14ac:dyDescent="0.35">
      <c r="A66" s="2">
        <v>65</v>
      </c>
      <c r="B66" s="2" t="s">
        <v>25</v>
      </c>
      <c r="C66" s="2" t="s">
        <v>23</v>
      </c>
      <c r="D66" s="2" t="s">
        <v>16</v>
      </c>
      <c r="E66" s="2" t="s">
        <v>24</v>
      </c>
      <c r="F66" s="2">
        <v>1</v>
      </c>
      <c r="G66" s="2">
        <v>350</v>
      </c>
      <c r="H66" s="2">
        <v>350</v>
      </c>
    </row>
    <row r="67" spans="1:8" x14ac:dyDescent="0.35">
      <c r="A67">
        <v>66</v>
      </c>
      <c r="B67" t="s">
        <v>25</v>
      </c>
      <c r="C67" t="s">
        <v>23</v>
      </c>
      <c r="D67" t="s">
        <v>10</v>
      </c>
      <c r="E67" t="s">
        <v>11</v>
      </c>
      <c r="F67">
        <v>14</v>
      </c>
      <c r="G67">
        <v>350</v>
      </c>
      <c r="H67">
        <v>4900</v>
      </c>
    </row>
    <row r="68" spans="1:8" x14ac:dyDescent="0.35">
      <c r="A68" s="2">
        <v>67</v>
      </c>
      <c r="B68" s="2" t="s">
        <v>17</v>
      </c>
      <c r="C68" s="2" t="s">
        <v>18</v>
      </c>
      <c r="D68" s="2" t="s">
        <v>13</v>
      </c>
      <c r="E68" s="2" t="s">
        <v>24</v>
      </c>
      <c r="F68" s="2">
        <v>8</v>
      </c>
      <c r="G68" s="2">
        <v>700</v>
      </c>
      <c r="H68" s="2">
        <v>5600</v>
      </c>
    </row>
    <row r="69" spans="1:8" x14ac:dyDescent="0.35">
      <c r="A69">
        <v>68</v>
      </c>
      <c r="B69" t="s">
        <v>19</v>
      </c>
      <c r="C69" t="s">
        <v>9</v>
      </c>
      <c r="D69" t="s">
        <v>20</v>
      </c>
      <c r="E69" t="s">
        <v>11</v>
      </c>
      <c r="F69">
        <v>7</v>
      </c>
      <c r="G69">
        <v>250</v>
      </c>
      <c r="H69">
        <v>1750</v>
      </c>
    </row>
    <row r="70" spans="1:8" x14ac:dyDescent="0.35">
      <c r="A70" s="2">
        <v>69</v>
      </c>
      <c r="B70" s="2" t="s">
        <v>21</v>
      </c>
      <c r="C70" s="2" t="s">
        <v>18</v>
      </c>
      <c r="D70" s="2" t="s">
        <v>12</v>
      </c>
      <c r="E70" s="2" t="s">
        <v>11</v>
      </c>
      <c r="F70" s="2">
        <v>2</v>
      </c>
      <c r="G70" s="2">
        <v>900</v>
      </c>
      <c r="H70" s="2">
        <v>1800</v>
      </c>
    </row>
    <row r="71" spans="1:8" x14ac:dyDescent="0.35">
      <c r="A71">
        <v>70</v>
      </c>
      <c r="B71" t="s">
        <v>27</v>
      </c>
      <c r="C71" t="s">
        <v>28</v>
      </c>
      <c r="D71" t="s">
        <v>12</v>
      </c>
      <c r="E71" t="s">
        <v>24</v>
      </c>
      <c r="F71">
        <v>7</v>
      </c>
      <c r="G71">
        <v>4500</v>
      </c>
      <c r="H71">
        <v>31500</v>
      </c>
    </row>
    <row r="72" spans="1:8" x14ac:dyDescent="0.35">
      <c r="A72" s="2">
        <v>71</v>
      </c>
      <c r="B72" s="2" t="s">
        <v>15</v>
      </c>
      <c r="C72" s="2" t="s">
        <v>9</v>
      </c>
      <c r="D72" s="2" t="s">
        <v>16</v>
      </c>
      <c r="E72" s="2" t="s">
        <v>26</v>
      </c>
      <c r="F72" s="2">
        <v>5</v>
      </c>
      <c r="G72" s="2">
        <v>120</v>
      </c>
      <c r="H72" s="2">
        <v>600</v>
      </c>
    </row>
    <row r="73" spans="1:8" x14ac:dyDescent="0.35">
      <c r="A73">
        <v>72</v>
      </c>
      <c r="B73" t="s">
        <v>15</v>
      </c>
      <c r="C73" t="s">
        <v>9</v>
      </c>
      <c r="D73" t="s">
        <v>20</v>
      </c>
      <c r="E73" t="s">
        <v>26</v>
      </c>
      <c r="F73">
        <v>3</v>
      </c>
      <c r="G73">
        <v>120</v>
      </c>
      <c r="H73">
        <v>360</v>
      </c>
    </row>
    <row r="74" spans="1:8" x14ac:dyDescent="0.35">
      <c r="A74" s="2">
        <v>73</v>
      </c>
      <c r="B74" s="2" t="s">
        <v>19</v>
      </c>
      <c r="C74" s="2" t="s">
        <v>9</v>
      </c>
      <c r="D74" s="2" t="s">
        <v>16</v>
      </c>
      <c r="E74" s="2" t="s">
        <v>14</v>
      </c>
      <c r="F74" s="2">
        <v>9</v>
      </c>
      <c r="G74" s="2">
        <v>250</v>
      </c>
      <c r="H74" s="2">
        <v>2250</v>
      </c>
    </row>
    <row r="75" spans="1:8" x14ac:dyDescent="0.35">
      <c r="A75">
        <v>74</v>
      </c>
      <c r="B75" t="s">
        <v>8</v>
      </c>
      <c r="C75" t="s">
        <v>9</v>
      </c>
      <c r="D75" t="s">
        <v>16</v>
      </c>
      <c r="E75" t="s">
        <v>24</v>
      </c>
      <c r="F75">
        <v>8</v>
      </c>
      <c r="G75">
        <v>180</v>
      </c>
      <c r="H75">
        <v>1440</v>
      </c>
    </row>
    <row r="76" spans="1:8" x14ac:dyDescent="0.35">
      <c r="A76" s="2">
        <v>75</v>
      </c>
      <c r="B76" s="2" t="s">
        <v>21</v>
      </c>
      <c r="C76" s="2" t="s">
        <v>18</v>
      </c>
      <c r="D76" s="2" t="s">
        <v>20</v>
      </c>
      <c r="E76" s="2" t="s">
        <v>26</v>
      </c>
      <c r="F76" s="2">
        <v>8</v>
      </c>
      <c r="G76" s="2">
        <v>900</v>
      </c>
      <c r="H76" s="2">
        <v>7200</v>
      </c>
    </row>
    <row r="77" spans="1:8" x14ac:dyDescent="0.35">
      <c r="A77">
        <v>76</v>
      </c>
      <c r="B77" t="s">
        <v>8</v>
      </c>
      <c r="C77" t="s">
        <v>9</v>
      </c>
      <c r="D77" t="s">
        <v>13</v>
      </c>
      <c r="E77" t="s">
        <v>26</v>
      </c>
      <c r="F77">
        <v>3</v>
      </c>
      <c r="G77">
        <v>180</v>
      </c>
      <c r="H77">
        <v>540</v>
      </c>
    </row>
    <row r="78" spans="1:8" x14ac:dyDescent="0.35">
      <c r="A78" s="2">
        <v>77</v>
      </c>
      <c r="B78" s="2" t="s">
        <v>25</v>
      </c>
      <c r="C78" s="2" t="s">
        <v>23</v>
      </c>
      <c r="D78" s="2" t="s">
        <v>10</v>
      </c>
      <c r="E78" s="2" t="s">
        <v>11</v>
      </c>
      <c r="F78" s="2">
        <v>10</v>
      </c>
      <c r="G78" s="2">
        <v>350</v>
      </c>
      <c r="H78" s="2">
        <v>3500</v>
      </c>
    </row>
    <row r="79" spans="1:8" x14ac:dyDescent="0.35">
      <c r="A79">
        <v>78</v>
      </c>
      <c r="B79" t="s">
        <v>15</v>
      </c>
      <c r="C79" t="s">
        <v>9</v>
      </c>
      <c r="D79" t="s">
        <v>12</v>
      </c>
      <c r="E79" t="s">
        <v>24</v>
      </c>
      <c r="F79">
        <v>14</v>
      </c>
      <c r="G79">
        <v>120</v>
      </c>
      <c r="H79">
        <v>1680</v>
      </c>
    </row>
    <row r="80" spans="1:8" x14ac:dyDescent="0.35">
      <c r="A80" s="2">
        <v>79</v>
      </c>
      <c r="B80" s="2" t="s">
        <v>19</v>
      </c>
      <c r="C80" s="2" t="s">
        <v>9</v>
      </c>
      <c r="D80" s="2" t="s">
        <v>13</v>
      </c>
      <c r="E80" s="2" t="s">
        <v>11</v>
      </c>
      <c r="F80" s="2">
        <v>15</v>
      </c>
      <c r="G80" s="2">
        <v>250</v>
      </c>
      <c r="H80" s="2">
        <v>3750</v>
      </c>
    </row>
    <row r="81" spans="1:8" x14ac:dyDescent="0.35">
      <c r="A81">
        <v>80</v>
      </c>
      <c r="B81" t="s">
        <v>27</v>
      </c>
      <c r="C81" t="s">
        <v>28</v>
      </c>
      <c r="D81" t="s">
        <v>20</v>
      </c>
      <c r="E81" t="s">
        <v>11</v>
      </c>
      <c r="F81">
        <v>14</v>
      </c>
      <c r="G81">
        <v>4500</v>
      </c>
      <c r="H81">
        <v>63000</v>
      </c>
    </row>
    <row r="82" spans="1:8" x14ac:dyDescent="0.35">
      <c r="A82" s="2">
        <v>81</v>
      </c>
      <c r="B82" s="2" t="s">
        <v>25</v>
      </c>
      <c r="C82" s="2" t="s">
        <v>23</v>
      </c>
      <c r="D82" s="2" t="s">
        <v>13</v>
      </c>
      <c r="E82" s="2" t="s">
        <v>14</v>
      </c>
      <c r="F82" s="2">
        <v>6</v>
      </c>
      <c r="G82" s="2">
        <v>350</v>
      </c>
      <c r="H82" s="2">
        <v>2100</v>
      </c>
    </row>
    <row r="83" spans="1:8" x14ac:dyDescent="0.35">
      <c r="A83">
        <v>82</v>
      </c>
      <c r="B83" t="s">
        <v>19</v>
      </c>
      <c r="C83" t="s">
        <v>9</v>
      </c>
      <c r="D83" t="s">
        <v>10</v>
      </c>
      <c r="E83" t="s">
        <v>24</v>
      </c>
      <c r="F83">
        <v>14</v>
      </c>
      <c r="G83">
        <v>250</v>
      </c>
      <c r="H83">
        <v>3500</v>
      </c>
    </row>
    <row r="84" spans="1:8" x14ac:dyDescent="0.35">
      <c r="A84" s="2">
        <v>83</v>
      </c>
      <c r="B84" s="2" t="s">
        <v>30</v>
      </c>
      <c r="C84" s="2" t="s">
        <v>9</v>
      </c>
      <c r="D84" s="2" t="s">
        <v>10</v>
      </c>
      <c r="E84" s="2" t="s">
        <v>24</v>
      </c>
      <c r="F84" s="2">
        <v>9</v>
      </c>
      <c r="G84" s="2">
        <v>300</v>
      </c>
      <c r="H84" s="2">
        <v>2700</v>
      </c>
    </row>
    <row r="85" spans="1:8" x14ac:dyDescent="0.35">
      <c r="A85">
        <v>84</v>
      </c>
      <c r="B85" t="s">
        <v>8</v>
      </c>
      <c r="C85" t="s">
        <v>9</v>
      </c>
      <c r="D85" t="s">
        <v>10</v>
      </c>
      <c r="E85" t="s">
        <v>11</v>
      </c>
      <c r="F85">
        <v>8</v>
      </c>
      <c r="G85">
        <v>180</v>
      </c>
      <c r="H85">
        <v>1440</v>
      </c>
    </row>
    <row r="86" spans="1:8" x14ac:dyDescent="0.35">
      <c r="A86" s="2">
        <v>85</v>
      </c>
      <c r="B86" s="2" t="s">
        <v>30</v>
      </c>
      <c r="C86" s="2" t="s">
        <v>9</v>
      </c>
      <c r="D86" s="2" t="s">
        <v>10</v>
      </c>
      <c r="E86" s="2" t="s">
        <v>24</v>
      </c>
      <c r="F86" s="2">
        <v>6</v>
      </c>
      <c r="G86" s="2">
        <v>300</v>
      </c>
      <c r="H86" s="2">
        <v>1800</v>
      </c>
    </row>
    <row r="87" spans="1:8" x14ac:dyDescent="0.35">
      <c r="A87">
        <v>86</v>
      </c>
      <c r="B87" t="s">
        <v>25</v>
      </c>
      <c r="C87" t="s">
        <v>23</v>
      </c>
      <c r="D87" t="s">
        <v>12</v>
      </c>
      <c r="E87" t="s">
        <v>26</v>
      </c>
      <c r="F87">
        <v>15</v>
      </c>
      <c r="G87">
        <v>350</v>
      </c>
      <c r="H87">
        <v>5250</v>
      </c>
    </row>
    <row r="88" spans="1:8" x14ac:dyDescent="0.35">
      <c r="A88" s="2">
        <v>87</v>
      </c>
      <c r="B88" s="2" t="s">
        <v>21</v>
      </c>
      <c r="C88" s="2" t="s">
        <v>18</v>
      </c>
      <c r="D88" s="2" t="s">
        <v>16</v>
      </c>
      <c r="E88" s="2" t="s">
        <v>26</v>
      </c>
      <c r="F88" s="2">
        <v>2</v>
      </c>
      <c r="G88" s="2">
        <v>900</v>
      </c>
      <c r="H88" s="2">
        <v>1800</v>
      </c>
    </row>
    <row r="89" spans="1:8" x14ac:dyDescent="0.35">
      <c r="A89">
        <v>88</v>
      </c>
      <c r="B89" t="s">
        <v>22</v>
      </c>
      <c r="C89" t="s">
        <v>23</v>
      </c>
      <c r="D89" t="s">
        <v>10</v>
      </c>
      <c r="E89" t="s">
        <v>14</v>
      </c>
      <c r="F89">
        <v>8</v>
      </c>
      <c r="G89">
        <v>900</v>
      </c>
      <c r="H89">
        <v>7200</v>
      </c>
    </row>
    <row r="90" spans="1:8" x14ac:dyDescent="0.35">
      <c r="A90" s="2">
        <v>89</v>
      </c>
      <c r="B90" s="2" t="s">
        <v>19</v>
      </c>
      <c r="C90" s="2" t="s">
        <v>9</v>
      </c>
      <c r="D90" s="2" t="s">
        <v>12</v>
      </c>
      <c r="E90" s="2" t="s">
        <v>26</v>
      </c>
      <c r="F90" s="2">
        <v>14</v>
      </c>
      <c r="G90" s="2">
        <v>250</v>
      </c>
      <c r="H90" s="2">
        <v>3500</v>
      </c>
    </row>
    <row r="91" spans="1:8" x14ac:dyDescent="0.35">
      <c r="A91">
        <v>90</v>
      </c>
      <c r="B91" t="s">
        <v>22</v>
      </c>
      <c r="C91" t="s">
        <v>23</v>
      </c>
      <c r="D91" t="s">
        <v>20</v>
      </c>
      <c r="E91" t="s">
        <v>26</v>
      </c>
      <c r="F91">
        <v>6</v>
      </c>
      <c r="G91">
        <v>900</v>
      </c>
      <c r="H91">
        <v>5400</v>
      </c>
    </row>
    <row r="92" spans="1:8" x14ac:dyDescent="0.35">
      <c r="A92" s="2">
        <v>91</v>
      </c>
      <c r="B92" s="2" t="s">
        <v>8</v>
      </c>
      <c r="C92" s="2" t="s">
        <v>9</v>
      </c>
      <c r="D92" s="2" t="s">
        <v>13</v>
      </c>
      <c r="E92" s="2" t="s">
        <v>26</v>
      </c>
      <c r="F92" s="2">
        <v>15</v>
      </c>
      <c r="G92" s="2">
        <v>180</v>
      </c>
      <c r="H92" s="2">
        <v>2700</v>
      </c>
    </row>
    <row r="93" spans="1:8" x14ac:dyDescent="0.35">
      <c r="A93">
        <v>92</v>
      </c>
      <c r="B93" t="s">
        <v>27</v>
      </c>
      <c r="C93" t="s">
        <v>28</v>
      </c>
      <c r="D93" t="s">
        <v>13</v>
      </c>
      <c r="E93" t="s">
        <v>14</v>
      </c>
      <c r="F93">
        <v>8</v>
      </c>
      <c r="G93">
        <v>4500</v>
      </c>
      <c r="H93">
        <v>36000</v>
      </c>
    </row>
    <row r="94" spans="1:8" x14ac:dyDescent="0.35">
      <c r="A94" s="2">
        <v>93</v>
      </c>
      <c r="B94" s="2" t="s">
        <v>29</v>
      </c>
      <c r="C94" s="2" t="s">
        <v>28</v>
      </c>
      <c r="D94" s="2" t="s">
        <v>20</v>
      </c>
      <c r="E94" s="2" t="s">
        <v>14</v>
      </c>
      <c r="F94" s="2">
        <v>11</v>
      </c>
      <c r="G94" s="2">
        <v>1200</v>
      </c>
      <c r="H94" s="2">
        <v>13200</v>
      </c>
    </row>
    <row r="95" spans="1:8" x14ac:dyDescent="0.35">
      <c r="A95">
        <v>94</v>
      </c>
      <c r="B95" t="s">
        <v>19</v>
      </c>
      <c r="C95" t="s">
        <v>9</v>
      </c>
      <c r="D95" t="s">
        <v>16</v>
      </c>
      <c r="E95" t="s">
        <v>24</v>
      </c>
      <c r="F95">
        <v>11</v>
      </c>
      <c r="G95">
        <v>250</v>
      </c>
      <c r="H95">
        <v>2750</v>
      </c>
    </row>
    <row r="96" spans="1:8" x14ac:dyDescent="0.35">
      <c r="A96" s="2">
        <v>95</v>
      </c>
      <c r="B96" s="2" t="s">
        <v>27</v>
      </c>
      <c r="C96" s="2" t="s">
        <v>28</v>
      </c>
      <c r="D96" s="2" t="s">
        <v>16</v>
      </c>
      <c r="E96" s="2" t="s">
        <v>11</v>
      </c>
      <c r="F96" s="2">
        <v>9</v>
      </c>
      <c r="G96" s="2">
        <v>4500</v>
      </c>
      <c r="H96" s="2">
        <v>40500</v>
      </c>
    </row>
    <row r="97" spans="1:8" x14ac:dyDescent="0.35">
      <c r="A97">
        <v>96</v>
      </c>
      <c r="B97" t="s">
        <v>22</v>
      </c>
      <c r="C97" t="s">
        <v>23</v>
      </c>
      <c r="D97" t="s">
        <v>13</v>
      </c>
      <c r="E97" t="s">
        <v>24</v>
      </c>
      <c r="F97">
        <v>15</v>
      </c>
      <c r="G97">
        <v>900</v>
      </c>
      <c r="H97">
        <v>13500</v>
      </c>
    </row>
    <row r="98" spans="1:8" x14ac:dyDescent="0.35">
      <c r="A98" s="2">
        <v>97</v>
      </c>
      <c r="B98" s="2" t="s">
        <v>30</v>
      </c>
      <c r="C98" s="2" t="s">
        <v>9</v>
      </c>
      <c r="D98" s="2" t="s">
        <v>20</v>
      </c>
      <c r="E98" s="2" t="s">
        <v>24</v>
      </c>
      <c r="F98" s="2">
        <v>14</v>
      </c>
      <c r="G98" s="2">
        <v>300</v>
      </c>
      <c r="H98" s="2">
        <v>4200</v>
      </c>
    </row>
    <row r="99" spans="1:8" x14ac:dyDescent="0.35">
      <c r="A99">
        <v>98</v>
      </c>
      <c r="B99" t="s">
        <v>8</v>
      </c>
      <c r="C99" t="s">
        <v>9</v>
      </c>
      <c r="D99" t="s">
        <v>13</v>
      </c>
      <c r="E99" t="s">
        <v>26</v>
      </c>
      <c r="F99">
        <v>12</v>
      </c>
      <c r="G99">
        <v>180</v>
      </c>
      <c r="H99">
        <v>2160</v>
      </c>
    </row>
    <row r="100" spans="1:8" x14ac:dyDescent="0.35">
      <c r="A100" s="2">
        <v>99</v>
      </c>
      <c r="B100" s="2" t="s">
        <v>22</v>
      </c>
      <c r="C100" s="2" t="s">
        <v>23</v>
      </c>
      <c r="D100" s="2" t="s">
        <v>16</v>
      </c>
      <c r="E100" s="2" t="s">
        <v>24</v>
      </c>
      <c r="F100" s="2">
        <v>15</v>
      </c>
      <c r="G100" s="2">
        <v>900</v>
      </c>
      <c r="H100" s="2">
        <v>13500</v>
      </c>
    </row>
    <row r="101" spans="1:8" x14ac:dyDescent="0.35">
      <c r="A101">
        <v>100</v>
      </c>
      <c r="B101" t="s">
        <v>29</v>
      </c>
      <c r="C101" t="s">
        <v>28</v>
      </c>
      <c r="D101" t="s">
        <v>12</v>
      </c>
      <c r="E101" t="s">
        <v>14</v>
      </c>
      <c r="F101">
        <v>8</v>
      </c>
      <c r="G101">
        <v>1200</v>
      </c>
      <c r="H101">
        <v>9600</v>
      </c>
    </row>
    <row r="102" spans="1:8" x14ac:dyDescent="0.35">
      <c r="A102" s="2">
        <v>101</v>
      </c>
      <c r="B102" s="2" t="s">
        <v>15</v>
      </c>
      <c r="C102" s="2" t="s">
        <v>9</v>
      </c>
      <c r="D102" s="2" t="s">
        <v>12</v>
      </c>
      <c r="E102" s="2" t="s">
        <v>11</v>
      </c>
      <c r="F102" s="2">
        <v>11</v>
      </c>
      <c r="G102" s="2">
        <v>120</v>
      </c>
      <c r="H102" s="2">
        <v>1320</v>
      </c>
    </row>
    <row r="103" spans="1:8" x14ac:dyDescent="0.35">
      <c r="A103">
        <v>102</v>
      </c>
      <c r="B103" t="s">
        <v>29</v>
      </c>
      <c r="C103" t="s">
        <v>28</v>
      </c>
      <c r="D103" t="s">
        <v>10</v>
      </c>
      <c r="E103" t="s">
        <v>14</v>
      </c>
      <c r="F103">
        <v>2</v>
      </c>
      <c r="G103">
        <v>1200</v>
      </c>
      <c r="H103">
        <v>2400</v>
      </c>
    </row>
    <row r="104" spans="1:8" x14ac:dyDescent="0.35">
      <c r="A104" s="2">
        <v>103</v>
      </c>
      <c r="B104" s="2" t="s">
        <v>25</v>
      </c>
      <c r="C104" s="2" t="s">
        <v>23</v>
      </c>
      <c r="D104" s="2" t="s">
        <v>16</v>
      </c>
      <c r="E104" s="2" t="s">
        <v>26</v>
      </c>
      <c r="F104" s="2">
        <v>12</v>
      </c>
      <c r="G104" s="2">
        <v>350</v>
      </c>
      <c r="H104" s="2">
        <v>4200</v>
      </c>
    </row>
    <row r="105" spans="1:8" x14ac:dyDescent="0.35">
      <c r="A105">
        <v>104</v>
      </c>
      <c r="B105" t="s">
        <v>25</v>
      </c>
      <c r="C105" t="s">
        <v>23</v>
      </c>
      <c r="D105" t="s">
        <v>20</v>
      </c>
      <c r="E105" t="s">
        <v>24</v>
      </c>
      <c r="F105">
        <v>11</v>
      </c>
      <c r="G105">
        <v>350</v>
      </c>
      <c r="H105">
        <v>3850</v>
      </c>
    </row>
    <row r="106" spans="1:8" x14ac:dyDescent="0.35">
      <c r="A106" s="2">
        <v>105</v>
      </c>
      <c r="B106" s="2" t="s">
        <v>15</v>
      </c>
      <c r="C106" s="2" t="s">
        <v>9</v>
      </c>
      <c r="D106" s="2" t="s">
        <v>10</v>
      </c>
      <c r="E106" s="2" t="s">
        <v>14</v>
      </c>
      <c r="F106" s="2">
        <v>13</v>
      </c>
      <c r="G106" s="2">
        <v>120</v>
      </c>
      <c r="H106" s="2">
        <v>1560</v>
      </c>
    </row>
    <row r="107" spans="1:8" x14ac:dyDescent="0.35">
      <c r="A107">
        <v>106</v>
      </c>
      <c r="B107" t="s">
        <v>29</v>
      </c>
      <c r="C107" t="s">
        <v>28</v>
      </c>
      <c r="D107" t="s">
        <v>20</v>
      </c>
      <c r="E107" t="s">
        <v>26</v>
      </c>
      <c r="F107">
        <v>5</v>
      </c>
      <c r="G107">
        <v>1200</v>
      </c>
      <c r="H107">
        <v>6000</v>
      </c>
    </row>
    <row r="108" spans="1:8" x14ac:dyDescent="0.35">
      <c r="A108" s="2">
        <v>107</v>
      </c>
      <c r="B108" s="2" t="s">
        <v>19</v>
      </c>
      <c r="C108" s="2" t="s">
        <v>9</v>
      </c>
      <c r="D108" s="2" t="s">
        <v>16</v>
      </c>
      <c r="E108" s="2" t="s">
        <v>26</v>
      </c>
      <c r="F108" s="2">
        <v>9</v>
      </c>
      <c r="G108" s="2">
        <v>250</v>
      </c>
      <c r="H108" s="2">
        <v>2250</v>
      </c>
    </row>
    <row r="109" spans="1:8" x14ac:dyDescent="0.35">
      <c r="A109">
        <v>108</v>
      </c>
      <c r="B109" t="s">
        <v>8</v>
      </c>
      <c r="C109" t="s">
        <v>9</v>
      </c>
      <c r="D109" t="s">
        <v>12</v>
      </c>
      <c r="E109" t="s">
        <v>26</v>
      </c>
      <c r="F109">
        <v>8</v>
      </c>
      <c r="G109">
        <v>180</v>
      </c>
      <c r="H109">
        <v>1440</v>
      </c>
    </row>
    <row r="110" spans="1:8" x14ac:dyDescent="0.35">
      <c r="A110" s="2">
        <v>109</v>
      </c>
      <c r="B110" s="2" t="s">
        <v>30</v>
      </c>
      <c r="C110" s="2" t="s">
        <v>9</v>
      </c>
      <c r="D110" s="2" t="s">
        <v>13</v>
      </c>
      <c r="E110" s="2" t="s">
        <v>26</v>
      </c>
      <c r="F110" s="2">
        <v>2</v>
      </c>
      <c r="G110" s="2">
        <v>300</v>
      </c>
      <c r="H110" s="2">
        <v>600</v>
      </c>
    </row>
    <row r="111" spans="1:8" x14ac:dyDescent="0.35">
      <c r="A111">
        <v>110</v>
      </c>
      <c r="B111" t="s">
        <v>21</v>
      </c>
      <c r="C111" t="s">
        <v>18</v>
      </c>
      <c r="D111" t="s">
        <v>12</v>
      </c>
      <c r="E111" t="s">
        <v>24</v>
      </c>
      <c r="F111">
        <v>2</v>
      </c>
      <c r="G111">
        <v>900</v>
      </c>
      <c r="H111">
        <v>1800</v>
      </c>
    </row>
    <row r="112" spans="1:8" x14ac:dyDescent="0.35">
      <c r="A112" s="2">
        <v>111</v>
      </c>
      <c r="B112" s="2" t="s">
        <v>22</v>
      </c>
      <c r="C112" s="2" t="s">
        <v>23</v>
      </c>
      <c r="D112" s="2" t="s">
        <v>16</v>
      </c>
      <c r="E112" s="2" t="s">
        <v>26</v>
      </c>
      <c r="F112" s="2">
        <v>10</v>
      </c>
      <c r="G112" s="2">
        <v>900</v>
      </c>
      <c r="H112" s="2">
        <v>9000</v>
      </c>
    </row>
    <row r="113" spans="1:8" x14ac:dyDescent="0.35">
      <c r="A113">
        <v>112</v>
      </c>
      <c r="B113" t="s">
        <v>15</v>
      </c>
      <c r="C113" t="s">
        <v>9</v>
      </c>
      <c r="D113" t="s">
        <v>16</v>
      </c>
      <c r="E113" t="s">
        <v>14</v>
      </c>
      <c r="F113">
        <v>15</v>
      </c>
      <c r="G113">
        <v>120</v>
      </c>
      <c r="H113">
        <v>1800</v>
      </c>
    </row>
    <row r="114" spans="1:8" x14ac:dyDescent="0.35">
      <c r="A114" s="2">
        <v>113</v>
      </c>
      <c r="B114" s="2" t="s">
        <v>8</v>
      </c>
      <c r="C114" s="2" t="s">
        <v>9</v>
      </c>
      <c r="D114" s="2" t="s">
        <v>16</v>
      </c>
      <c r="E114" s="2" t="s">
        <v>26</v>
      </c>
      <c r="F114" s="2">
        <v>2</v>
      </c>
      <c r="G114" s="2">
        <v>180</v>
      </c>
      <c r="H114" s="2">
        <v>360</v>
      </c>
    </row>
    <row r="115" spans="1:8" x14ac:dyDescent="0.35">
      <c r="A115">
        <v>114</v>
      </c>
      <c r="B115" t="s">
        <v>30</v>
      </c>
      <c r="C115" t="s">
        <v>9</v>
      </c>
      <c r="D115" t="s">
        <v>13</v>
      </c>
      <c r="E115" t="s">
        <v>24</v>
      </c>
      <c r="F115">
        <v>12</v>
      </c>
      <c r="G115">
        <v>300</v>
      </c>
      <c r="H115">
        <v>3600</v>
      </c>
    </row>
    <row r="116" spans="1:8" x14ac:dyDescent="0.35">
      <c r="A116" s="2">
        <v>115</v>
      </c>
      <c r="B116" s="2" t="s">
        <v>30</v>
      </c>
      <c r="C116" s="2" t="s">
        <v>9</v>
      </c>
      <c r="D116" s="2" t="s">
        <v>10</v>
      </c>
      <c r="E116" s="2" t="s">
        <v>26</v>
      </c>
      <c r="F116" s="2">
        <v>2</v>
      </c>
      <c r="G116" s="2">
        <v>300</v>
      </c>
      <c r="H116" s="2">
        <v>600</v>
      </c>
    </row>
    <row r="117" spans="1:8" x14ac:dyDescent="0.35">
      <c r="A117">
        <v>116</v>
      </c>
      <c r="B117" t="s">
        <v>30</v>
      </c>
      <c r="C117" t="s">
        <v>9</v>
      </c>
      <c r="D117" t="s">
        <v>12</v>
      </c>
      <c r="E117" t="s">
        <v>26</v>
      </c>
      <c r="F117">
        <v>7</v>
      </c>
      <c r="G117">
        <v>300</v>
      </c>
      <c r="H117">
        <v>2100</v>
      </c>
    </row>
    <row r="118" spans="1:8" x14ac:dyDescent="0.35">
      <c r="A118" s="2">
        <v>117</v>
      </c>
      <c r="B118" s="2" t="s">
        <v>19</v>
      </c>
      <c r="C118" s="2" t="s">
        <v>9</v>
      </c>
      <c r="D118" s="2" t="s">
        <v>10</v>
      </c>
      <c r="E118" s="2" t="s">
        <v>26</v>
      </c>
      <c r="F118" s="2">
        <v>4</v>
      </c>
      <c r="G118" s="2">
        <v>250</v>
      </c>
      <c r="H118" s="2">
        <v>1000</v>
      </c>
    </row>
    <row r="119" spans="1:8" x14ac:dyDescent="0.35">
      <c r="A119">
        <v>118</v>
      </c>
      <c r="B119" t="s">
        <v>8</v>
      </c>
      <c r="C119" t="s">
        <v>9</v>
      </c>
      <c r="D119" t="s">
        <v>13</v>
      </c>
      <c r="E119" t="s">
        <v>26</v>
      </c>
      <c r="F119">
        <v>7</v>
      </c>
      <c r="G119">
        <v>180</v>
      </c>
      <c r="H119">
        <v>1260</v>
      </c>
    </row>
    <row r="120" spans="1:8" x14ac:dyDescent="0.35">
      <c r="A120" s="2">
        <v>119</v>
      </c>
      <c r="B120" s="2" t="s">
        <v>30</v>
      </c>
      <c r="C120" s="2" t="s">
        <v>9</v>
      </c>
      <c r="D120" s="2" t="s">
        <v>10</v>
      </c>
      <c r="E120" s="2" t="s">
        <v>11</v>
      </c>
      <c r="F120" s="2">
        <v>11</v>
      </c>
      <c r="G120" s="2">
        <v>300</v>
      </c>
      <c r="H120" s="2">
        <v>3300</v>
      </c>
    </row>
    <row r="121" spans="1:8" x14ac:dyDescent="0.35">
      <c r="A121">
        <v>120</v>
      </c>
      <c r="B121" t="s">
        <v>17</v>
      </c>
      <c r="C121" t="s">
        <v>18</v>
      </c>
      <c r="D121" t="s">
        <v>20</v>
      </c>
      <c r="E121" t="s">
        <v>11</v>
      </c>
      <c r="F121">
        <v>15</v>
      </c>
      <c r="G121">
        <v>700</v>
      </c>
      <c r="H121">
        <v>10500</v>
      </c>
    </row>
    <row r="122" spans="1:8" x14ac:dyDescent="0.35">
      <c r="A122" s="2">
        <v>121</v>
      </c>
      <c r="B122" s="2" t="s">
        <v>25</v>
      </c>
      <c r="C122" s="2" t="s">
        <v>23</v>
      </c>
      <c r="D122" s="2" t="s">
        <v>13</v>
      </c>
      <c r="E122" s="2" t="s">
        <v>11</v>
      </c>
      <c r="F122" s="2">
        <v>11</v>
      </c>
      <c r="G122" s="2">
        <v>350</v>
      </c>
      <c r="H122" s="2">
        <v>3850</v>
      </c>
    </row>
    <row r="123" spans="1:8" x14ac:dyDescent="0.35">
      <c r="A123">
        <v>122</v>
      </c>
      <c r="B123" t="s">
        <v>29</v>
      </c>
      <c r="C123" t="s">
        <v>28</v>
      </c>
      <c r="D123" t="s">
        <v>12</v>
      </c>
      <c r="E123" t="s">
        <v>14</v>
      </c>
      <c r="F123">
        <v>1</v>
      </c>
      <c r="G123">
        <v>1200</v>
      </c>
      <c r="H123">
        <v>1200</v>
      </c>
    </row>
    <row r="124" spans="1:8" x14ac:dyDescent="0.35">
      <c r="A124" s="2">
        <v>123</v>
      </c>
      <c r="B124" s="2" t="s">
        <v>19</v>
      </c>
      <c r="C124" s="2" t="s">
        <v>9</v>
      </c>
      <c r="D124" s="2" t="s">
        <v>13</v>
      </c>
      <c r="E124" s="2" t="s">
        <v>26</v>
      </c>
      <c r="F124" s="2">
        <v>11</v>
      </c>
      <c r="G124" s="2">
        <v>250</v>
      </c>
      <c r="H124" s="2">
        <v>2750</v>
      </c>
    </row>
    <row r="125" spans="1:8" x14ac:dyDescent="0.35">
      <c r="A125">
        <v>124</v>
      </c>
      <c r="B125" t="s">
        <v>29</v>
      </c>
      <c r="C125" t="s">
        <v>28</v>
      </c>
      <c r="D125" t="s">
        <v>10</v>
      </c>
      <c r="E125" t="s">
        <v>11</v>
      </c>
      <c r="F125">
        <v>14</v>
      </c>
      <c r="G125">
        <v>1200</v>
      </c>
      <c r="H125">
        <v>16800</v>
      </c>
    </row>
    <row r="126" spans="1:8" x14ac:dyDescent="0.35">
      <c r="A126" s="2">
        <v>125</v>
      </c>
      <c r="B126" s="2" t="s">
        <v>15</v>
      </c>
      <c r="C126" s="2" t="s">
        <v>9</v>
      </c>
      <c r="D126" s="2" t="s">
        <v>13</v>
      </c>
      <c r="E126" s="2" t="s">
        <v>11</v>
      </c>
      <c r="F126" s="2">
        <v>1</v>
      </c>
      <c r="G126" s="2">
        <v>120</v>
      </c>
      <c r="H126" s="2">
        <v>120</v>
      </c>
    </row>
    <row r="127" spans="1:8" x14ac:dyDescent="0.35">
      <c r="A127">
        <v>126</v>
      </c>
      <c r="B127" t="s">
        <v>27</v>
      </c>
      <c r="C127" t="s">
        <v>28</v>
      </c>
      <c r="D127" t="s">
        <v>13</v>
      </c>
      <c r="E127" t="s">
        <v>11</v>
      </c>
      <c r="F127">
        <v>2</v>
      </c>
      <c r="G127">
        <v>4500</v>
      </c>
      <c r="H127">
        <v>9000</v>
      </c>
    </row>
    <row r="128" spans="1:8" x14ac:dyDescent="0.35">
      <c r="A128" s="2">
        <v>127</v>
      </c>
      <c r="B128" s="2" t="s">
        <v>8</v>
      </c>
      <c r="C128" s="2" t="s">
        <v>9</v>
      </c>
      <c r="D128" s="2" t="s">
        <v>13</v>
      </c>
      <c r="E128" s="2" t="s">
        <v>26</v>
      </c>
      <c r="F128" s="2">
        <v>8</v>
      </c>
      <c r="G128" s="2">
        <v>180</v>
      </c>
      <c r="H128" s="2">
        <v>1440</v>
      </c>
    </row>
    <row r="129" spans="1:8" x14ac:dyDescent="0.35">
      <c r="A129">
        <v>128</v>
      </c>
      <c r="B129" t="s">
        <v>30</v>
      </c>
      <c r="C129" t="s">
        <v>9</v>
      </c>
      <c r="D129" t="s">
        <v>16</v>
      </c>
      <c r="E129" t="s">
        <v>14</v>
      </c>
      <c r="F129">
        <v>3</v>
      </c>
      <c r="G129">
        <v>300</v>
      </c>
      <c r="H129">
        <v>900</v>
      </c>
    </row>
    <row r="130" spans="1:8" x14ac:dyDescent="0.35">
      <c r="A130" s="2">
        <v>129</v>
      </c>
      <c r="B130" s="2" t="s">
        <v>19</v>
      </c>
      <c r="C130" s="2" t="s">
        <v>9</v>
      </c>
      <c r="D130" s="2" t="s">
        <v>13</v>
      </c>
      <c r="E130" s="2" t="s">
        <v>26</v>
      </c>
      <c r="F130" s="2">
        <v>12</v>
      </c>
      <c r="G130" s="2">
        <v>250</v>
      </c>
      <c r="H130" s="2">
        <v>3000</v>
      </c>
    </row>
    <row r="131" spans="1:8" x14ac:dyDescent="0.35">
      <c r="A131">
        <v>130</v>
      </c>
      <c r="B131" t="s">
        <v>27</v>
      </c>
      <c r="C131" t="s">
        <v>28</v>
      </c>
      <c r="D131" t="s">
        <v>16</v>
      </c>
      <c r="E131" t="s">
        <v>14</v>
      </c>
      <c r="F131">
        <v>4</v>
      </c>
      <c r="G131">
        <v>4500</v>
      </c>
      <c r="H131">
        <v>18000</v>
      </c>
    </row>
    <row r="132" spans="1:8" x14ac:dyDescent="0.35">
      <c r="A132" s="2">
        <v>131</v>
      </c>
      <c r="B132" s="2" t="s">
        <v>29</v>
      </c>
      <c r="C132" s="2" t="s">
        <v>28</v>
      </c>
      <c r="D132" s="2" t="s">
        <v>16</v>
      </c>
      <c r="E132" s="2" t="s">
        <v>14</v>
      </c>
      <c r="F132" s="2">
        <v>2</v>
      </c>
      <c r="G132" s="2">
        <v>1200</v>
      </c>
      <c r="H132" s="2">
        <v>2400</v>
      </c>
    </row>
    <row r="133" spans="1:8" x14ac:dyDescent="0.35">
      <c r="A133">
        <v>132</v>
      </c>
      <c r="B133" t="s">
        <v>22</v>
      </c>
      <c r="C133" t="s">
        <v>23</v>
      </c>
      <c r="D133" t="s">
        <v>12</v>
      </c>
      <c r="E133" t="s">
        <v>26</v>
      </c>
      <c r="F133">
        <v>12</v>
      </c>
      <c r="G133">
        <v>900</v>
      </c>
      <c r="H133">
        <v>10800</v>
      </c>
    </row>
    <row r="134" spans="1:8" x14ac:dyDescent="0.35">
      <c r="A134" s="2">
        <v>133</v>
      </c>
      <c r="B134" s="2" t="s">
        <v>15</v>
      </c>
      <c r="C134" s="2" t="s">
        <v>9</v>
      </c>
      <c r="D134" s="2" t="s">
        <v>13</v>
      </c>
      <c r="E134" s="2" t="s">
        <v>14</v>
      </c>
      <c r="F134" s="2">
        <v>4</v>
      </c>
      <c r="G134" s="2">
        <v>120</v>
      </c>
      <c r="H134" s="2">
        <v>480</v>
      </c>
    </row>
    <row r="135" spans="1:8" x14ac:dyDescent="0.35">
      <c r="A135">
        <v>134</v>
      </c>
      <c r="B135" t="s">
        <v>27</v>
      </c>
      <c r="C135" t="s">
        <v>28</v>
      </c>
      <c r="D135" t="s">
        <v>13</v>
      </c>
      <c r="E135" t="s">
        <v>26</v>
      </c>
      <c r="F135">
        <v>15</v>
      </c>
      <c r="G135">
        <v>4500</v>
      </c>
      <c r="H135">
        <v>67500</v>
      </c>
    </row>
    <row r="136" spans="1:8" x14ac:dyDescent="0.35">
      <c r="A136" s="2">
        <v>135</v>
      </c>
      <c r="B136" s="2" t="s">
        <v>15</v>
      </c>
      <c r="C136" s="2" t="s">
        <v>9</v>
      </c>
      <c r="D136" s="2" t="s">
        <v>20</v>
      </c>
      <c r="E136" s="2" t="s">
        <v>14</v>
      </c>
      <c r="F136" s="2">
        <v>14</v>
      </c>
      <c r="G136" s="2">
        <v>120</v>
      </c>
      <c r="H136" s="2">
        <v>1680</v>
      </c>
    </row>
    <row r="137" spans="1:8" x14ac:dyDescent="0.35">
      <c r="A137">
        <v>136</v>
      </c>
      <c r="B137" t="s">
        <v>22</v>
      </c>
      <c r="C137" t="s">
        <v>23</v>
      </c>
      <c r="D137" t="s">
        <v>16</v>
      </c>
      <c r="E137" t="s">
        <v>14</v>
      </c>
      <c r="F137">
        <v>6</v>
      </c>
      <c r="G137">
        <v>900</v>
      </c>
      <c r="H137">
        <v>5400</v>
      </c>
    </row>
    <row r="138" spans="1:8" x14ac:dyDescent="0.35">
      <c r="A138" s="2">
        <v>137</v>
      </c>
      <c r="B138" s="2" t="s">
        <v>25</v>
      </c>
      <c r="C138" s="2" t="s">
        <v>23</v>
      </c>
      <c r="D138" s="2" t="s">
        <v>13</v>
      </c>
      <c r="E138" s="2" t="s">
        <v>11</v>
      </c>
      <c r="F138" s="2">
        <v>3</v>
      </c>
      <c r="G138" s="2">
        <v>350</v>
      </c>
      <c r="H138" s="2">
        <v>1050</v>
      </c>
    </row>
    <row r="139" spans="1:8" x14ac:dyDescent="0.35">
      <c r="A139">
        <v>138</v>
      </c>
      <c r="B139" t="s">
        <v>17</v>
      </c>
      <c r="C139" t="s">
        <v>18</v>
      </c>
      <c r="D139" t="s">
        <v>20</v>
      </c>
      <c r="E139" t="s">
        <v>14</v>
      </c>
      <c r="F139">
        <v>2</v>
      </c>
      <c r="G139">
        <v>700</v>
      </c>
      <c r="H139">
        <v>1400</v>
      </c>
    </row>
    <row r="140" spans="1:8" x14ac:dyDescent="0.35">
      <c r="A140" s="2">
        <v>139</v>
      </c>
      <c r="B140" s="2" t="s">
        <v>29</v>
      </c>
      <c r="C140" s="2" t="s">
        <v>28</v>
      </c>
      <c r="D140" s="2" t="s">
        <v>20</v>
      </c>
      <c r="E140" s="2" t="s">
        <v>26</v>
      </c>
      <c r="F140" s="2">
        <v>11</v>
      </c>
      <c r="G140" s="2">
        <v>1200</v>
      </c>
      <c r="H140" s="2">
        <v>13200</v>
      </c>
    </row>
    <row r="141" spans="1:8" x14ac:dyDescent="0.35">
      <c r="A141">
        <v>140</v>
      </c>
      <c r="B141" t="s">
        <v>17</v>
      </c>
      <c r="C141" t="s">
        <v>18</v>
      </c>
      <c r="D141" t="s">
        <v>20</v>
      </c>
      <c r="E141" t="s">
        <v>11</v>
      </c>
      <c r="F141">
        <v>1</v>
      </c>
      <c r="G141">
        <v>700</v>
      </c>
      <c r="H141">
        <v>700</v>
      </c>
    </row>
    <row r="142" spans="1:8" x14ac:dyDescent="0.35">
      <c r="A142" s="2">
        <v>141</v>
      </c>
      <c r="B142" s="2" t="s">
        <v>21</v>
      </c>
      <c r="C142" s="2" t="s">
        <v>18</v>
      </c>
      <c r="D142" s="2" t="s">
        <v>16</v>
      </c>
      <c r="E142" s="2" t="s">
        <v>26</v>
      </c>
      <c r="F142" s="2">
        <v>14</v>
      </c>
      <c r="G142" s="2">
        <v>900</v>
      </c>
      <c r="H142" s="2">
        <v>12600</v>
      </c>
    </row>
    <row r="143" spans="1:8" x14ac:dyDescent="0.35">
      <c r="A143">
        <v>142</v>
      </c>
      <c r="B143" t="s">
        <v>25</v>
      </c>
      <c r="C143" t="s">
        <v>23</v>
      </c>
      <c r="D143" t="s">
        <v>20</v>
      </c>
      <c r="E143" t="s">
        <v>14</v>
      </c>
      <c r="F143">
        <v>13</v>
      </c>
      <c r="G143">
        <v>350</v>
      </c>
      <c r="H143">
        <v>4550</v>
      </c>
    </row>
    <row r="144" spans="1:8" x14ac:dyDescent="0.35">
      <c r="A144" s="2">
        <v>143</v>
      </c>
      <c r="B144" s="2" t="s">
        <v>8</v>
      </c>
      <c r="C144" s="2" t="s">
        <v>9</v>
      </c>
      <c r="D144" s="2" t="s">
        <v>12</v>
      </c>
      <c r="E144" s="2" t="s">
        <v>14</v>
      </c>
      <c r="F144" s="2">
        <v>14</v>
      </c>
      <c r="G144" s="2">
        <v>180</v>
      </c>
      <c r="H144" s="2">
        <v>2520</v>
      </c>
    </row>
    <row r="145" spans="1:8" x14ac:dyDescent="0.35">
      <c r="A145">
        <v>144</v>
      </c>
      <c r="B145" t="s">
        <v>17</v>
      </c>
      <c r="C145" t="s">
        <v>18</v>
      </c>
      <c r="D145" t="s">
        <v>13</v>
      </c>
      <c r="E145" t="s">
        <v>14</v>
      </c>
      <c r="F145">
        <v>8</v>
      </c>
      <c r="G145">
        <v>700</v>
      </c>
      <c r="H145">
        <v>5600</v>
      </c>
    </row>
    <row r="146" spans="1:8" x14ac:dyDescent="0.35">
      <c r="A146" s="2">
        <v>145</v>
      </c>
      <c r="B146" s="2" t="s">
        <v>17</v>
      </c>
      <c r="C146" s="2" t="s">
        <v>18</v>
      </c>
      <c r="D146" s="2" t="s">
        <v>16</v>
      </c>
      <c r="E146" s="2" t="s">
        <v>24</v>
      </c>
      <c r="F146" s="2">
        <v>4</v>
      </c>
      <c r="G146" s="2">
        <v>700</v>
      </c>
      <c r="H146" s="2">
        <v>2800</v>
      </c>
    </row>
    <row r="147" spans="1:8" x14ac:dyDescent="0.35">
      <c r="A147">
        <v>146</v>
      </c>
      <c r="B147" t="s">
        <v>30</v>
      </c>
      <c r="C147" t="s">
        <v>9</v>
      </c>
      <c r="D147" t="s">
        <v>13</v>
      </c>
      <c r="E147" t="s">
        <v>24</v>
      </c>
      <c r="F147">
        <v>12</v>
      </c>
      <c r="G147">
        <v>300</v>
      </c>
      <c r="H147">
        <v>3600</v>
      </c>
    </row>
    <row r="148" spans="1:8" x14ac:dyDescent="0.35">
      <c r="A148" s="2">
        <v>147</v>
      </c>
      <c r="B148" s="2" t="s">
        <v>25</v>
      </c>
      <c r="C148" s="2" t="s">
        <v>23</v>
      </c>
      <c r="D148" s="2" t="s">
        <v>13</v>
      </c>
      <c r="E148" s="2" t="s">
        <v>14</v>
      </c>
      <c r="F148" s="2">
        <v>4</v>
      </c>
      <c r="G148" s="2">
        <v>350</v>
      </c>
      <c r="H148" s="2">
        <v>1400</v>
      </c>
    </row>
    <row r="149" spans="1:8" x14ac:dyDescent="0.35">
      <c r="A149">
        <v>148</v>
      </c>
      <c r="B149" t="s">
        <v>27</v>
      </c>
      <c r="C149" t="s">
        <v>28</v>
      </c>
      <c r="D149" t="s">
        <v>10</v>
      </c>
      <c r="E149" t="s">
        <v>26</v>
      </c>
      <c r="F149">
        <v>7</v>
      </c>
      <c r="G149">
        <v>4500</v>
      </c>
      <c r="H149">
        <v>31500</v>
      </c>
    </row>
    <row r="150" spans="1:8" x14ac:dyDescent="0.35">
      <c r="A150" s="2">
        <v>149</v>
      </c>
      <c r="B150" s="2" t="s">
        <v>30</v>
      </c>
      <c r="C150" s="2" t="s">
        <v>9</v>
      </c>
      <c r="D150" s="2" t="s">
        <v>10</v>
      </c>
      <c r="E150" s="2" t="s">
        <v>24</v>
      </c>
      <c r="F150" s="2">
        <v>9</v>
      </c>
      <c r="G150" s="2">
        <v>300</v>
      </c>
      <c r="H150" s="2">
        <v>2700</v>
      </c>
    </row>
    <row r="151" spans="1:8" x14ac:dyDescent="0.35">
      <c r="A151">
        <v>150</v>
      </c>
      <c r="B151" t="s">
        <v>15</v>
      </c>
      <c r="C151" t="s">
        <v>9</v>
      </c>
      <c r="D151" t="s">
        <v>13</v>
      </c>
      <c r="E151" t="s">
        <v>24</v>
      </c>
      <c r="F151">
        <v>6</v>
      </c>
      <c r="G151">
        <v>120</v>
      </c>
      <c r="H151">
        <v>720</v>
      </c>
    </row>
    <row r="152" spans="1:8" x14ac:dyDescent="0.35">
      <c r="A152" s="2">
        <v>151</v>
      </c>
      <c r="B152" s="2" t="s">
        <v>19</v>
      </c>
      <c r="C152" s="2" t="s">
        <v>9</v>
      </c>
      <c r="D152" s="2" t="s">
        <v>20</v>
      </c>
      <c r="E152" s="2" t="s">
        <v>24</v>
      </c>
      <c r="F152" s="2">
        <v>10</v>
      </c>
      <c r="G152" s="2">
        <v>250</v>
      </c>
      <c r="H152" s="2">
        <v>2500</v>
      </c>
    </row>
    <row r="153" spans="1:8" x14ac:dyDescent="0.35">
      <c r="A153">
        <v>152</v>
      </c>
      <c r="B153" t="s">
        <v>29</v>
      </c>
      <c r="C153" t="s">
        <v>28</v>
      </c>
      <c r="D153" t="s">
        <v>12</v>
      </c>
      <c r="E153" t="s">
        <v>24</v>
      </c>
      <c r="F153">
        <v>9</v>
      </c>
      <c r="G153">
        <v>1200</v>
      </c>
      <c r="H153">
        <v>10800</v>
      </c>
    </row>
    <row r="154" spans="1:8" x14ac:dyDescent="0.35">
      <c r="A154" s="2">
        <v>153</v>
      </c>
      <c r="B154" s="2" t="s">
        <v>25</v>
      </c>
      <c r="C154" s="2" t="s">
        <v>23</v>
      </c>
      <c r="D154" s="2" t="s">
        <v>20</v>
      </c>
      <c r="E154" s="2" t="s">
        <v>14</v>
      </c>
      <c r="F154" s="2">
        <v>7</v>
      </c>
      <c r="G154" s="2">
        <v>350</v>
      </c>
      <c r="H154" s="2">
        <v>2450</v>
      </c>
    </row>
    <row r="155" spans="1:8" x14ac:dyDescent="0.35">
      <c r="A155">
        <v>154</v>
      </c>
      <c r="B155" t="s">
        <v>19</v>
      </c>
      <c r="C155" t="s">
        <v>9</v>
      </c>
      <c r="D155" t="s">
        <v>13</v>
      </c>
      <c r="E155" t="s">
        <v>14</v>
      </c>
      <c r="F155">
        <v>4</v>
      </c>
      <c r="G155">
        <v>250</v>
      </c>
      <c r="H155">
        <v>1000</v>
      </c>
    </row>
    <row r="156" spans="1:8" x14ac:dyDescent="0.35">
      <c r="A156" s="2">
        <v>155</v>
      </c>
      <c r="B156" s="2" t="s">
        <v>29</v>
      </c>
      <c r="C156" s="2" t="s">
        <v>28</v>
      </c>
      <c r="D156" s="2" t="s">
        <v>16</v>
      </c>
      <c r="E156" s="2" t="s">
        <v>14</v>
      </c>
      <c r="F156" s="2">
        <v>5</v>
      </c>
      <c r="G156" s="2">
        <v>1200</v>
      </c>
      <c r="H156" s="2">
        <v>6000</v>
      </c>
    </row>
    <row r="157" spans="1:8" x14ac:dyDescent="0.35">
      <c r="A157">
        <v>156</v>
      </c>
      <c r="B157" t="s">
        <v>19</v>
      </c>
      <c r="C157" t="s">
        <v>9</v>
      </c>
      <c r="D157" t="s">
        <v>13</v>
      </c>
      <c r="E157" t="s">
        <v>24</v>
      </c>
      <c r="F157">
        <v>14</v>
      </c>
      <c r="G157">
        <v>250</v>
      </c>
      <c r="H157">
        <v>3500</v>
      </c>
    </row>
    <row r="158" spans="1:8" x14ac:dyDescent="0.35">
      <c r="A158" s="2">
        <v>157</v>
      </c>
      <c r="B158" s="2" t="s">
        <v>27</v>
      </c>
      <c r="C158" s="2" t="s">
        <v>28</v>
      </c>
      <c r="D158" s="2" t="s">
        <v>20</v>
      </c>
      <c r="E158" s="2" t="s">
        <v>11</v>
      </c>
      <c r="F158" s="2">
        <v>15</v>
      </c>
      <c r="G158" s="2">
        <v>4500</v>
      </c>
      <c r="H158" s="2">
        <v>67500</v>
      </c>
    </row>
    <row r="159" spans="1:8" x14ac:dyDescent="0.35">
      <c r="A159">
        <v>158</v>
      </c>
      <c r="B159" t="s">
        <v>22</v>
      </c>
      <c r="C159" t="s">
        <v>23</v>
      </c>
      <c r="D159" t="s">
        <v>16</v>
      </c>
      <c r="E159" t="s">
        <v>24</v>
      </c>
      <c r="F159">
        <v>4</v>
      </c>
      <c r="G159">
        <v>900</v>
      </c>
      <c r="H159">
        <v>3600</v>
      </c>
    </row>
    <row r="160" spans="1:8" x14ac:dyDescent="0.35">
      <c r="A160" s="2">
        <v>159</v>
      </c>
      <c r="B160" s="2" t="s">
        <v>22</v>
      </c>
      <c r="C160" s="2" t="s">
        <v>23</v>
      </c>
      <c r="D160" s="2" t="s">
        <v>16</v>
      </c>
      <c r="E160" s="2" t="s">
        <v>24</v>
      </c>
      <c r="F160" s="2">
        <v>1</v>
      </c>
      <c r="G160" s="2">
        <v>900</v>
      </c>
      <c r="H160" s="2">
        <v>900</v>
      </c>
    </row>
    <row r="161" spans="1:8" x14ac:dyDescent="0.35">
      <c r="A161">
        <v>160</v>
      </c>
      <c r="B161" t="s">
        <v>15</v>
      </c>
      <c r="C161" t="s">
        <v>9</v>
      </c>
      <c r="D161" t="s">
        <v>10</v>
      </c>
      <c r="E161" t="s">
        <v>14</v>
      </c>
      <c r="F161">
        <v>1</v>
      </c>
      <c r="G161">
        <v>120</v>
      </c>
      <c r="H161">
        <v>120</v>
      </c>
    </row>
    <row r="162" spans="1:8" x14ac:dyDescent="0.35">
      <c r="A162" s="2">
        <v>161</v>
      </c>
      <c r="B162" s="2" t="s">
        <v>30</v>
      </c>
      <c r="C162" s="2" t="s">
        <v>9</v>
      </c>
      <c r="D162" s="2" t="s">
        <v>16</v>
      </c>
      <c r="E162" s="2" t="s">
        <v>11</v>
      </c>
      <c r="F162" s="2">
        <v>10</v>
      </c>
      <c r="G162" s="2">
        <v>300</v>
      </c>
      <c r="H162" s="2">
        <v>3000</v>
      </c>
    </row>
    <row r="163" spans="1:8" x14ac:dyDescent="0.35">
      <c r="A163">
        <v>162</v>
      </c>
      <c r="B163" t="s">
        <v>29</v>
      </c>
      <c r="C163" t="s">
        <v>28</v>
      </c>
      <c r="D163" t="s">
        <v>13</v>
      </c>
      <c r="E163" t="s">
        <v>14</v>
      </c>
      <c r="F163">
        <v>12</v>
      </c>
      <c r="G163">
        <v>1200</v>
      </c>
      <c r="H163">
        <v>14400</v>
      </c>
    </row>
    <row r="164" spans="1:8" x14ac:dyDescent="0.35">
      <c r="A164" s="2">
        <v>163</v>
      </c>
      <c r="B164" s="2" t="s">
        <v>17</v>
      </c>
      <c r="C164" s="2" t="s">
        <v>18</v>
      </c>
      <c r="D164" s="2" t="s">
        <v>16</v>
      </c>
      <c r="E164" s="2" t="s">
        <v>24</v>
      </c>
      <c r="F164" s="2">
        <v>3</v>
      </c>
      <c r="G164" s="2">
        <v>700</v>
      </c>
      <c r="H164" s="2">
        <v>2100</v>
      </c>
    </row>
    <row r="165" spans="1:8" x14ac:dyDescent="0.35">
      <c r="A165">
        <v>164</v>
      </c>
      <c r="B165" t="s">
        <v>25</v>
      </c>
      <c r="C165" t="s">
        <v>23</v>
      </c>
      <c r="D165" t="s">
        <v>20</v>
      </c>
      <c r="E165" t="s">
        <v>24</v>
      </c>
      <c r="F165">
        <v>2</v>
      </c>
      <c r="G165">
        <v>350</v>
      </c>
      <c r="H165">
        <v>700</v>
      </c>
    </row>
    <row r="166" spans="1:8" x14ac:dyDescent="0.35">
      <c r="A166" s="2">
        <v>165</v>
      </c>
      <c r="B166" s="2" t="s">
        <v>29</v>
      </c>
      <c r="C166" s="2" t="s">
        <v>28</v>
      </c>
      <c r="D166" s="2" t="s">
        <v>13</v>
      </c>
      <c r="E166" s="2" t="s">
        <v>24</v>
      </c>
      <c r="F166" s="2">
        <v>4</v>
      </c>
      <c r="G166" s="2">
        <v>1200</v>
      </c>
      <c r="H166" s="2">
        <v>4800</v>
      </c>
    </row>
    <row r="167" spans="1:8" x14ac:dyDescent="0.35">
      <c r="A167">
        <v>166</v>
      </c>
      <c r="B167" t="s">
        <v>29</v>
      </c>
      <c r="C167" t="s">
        <v>28</v>
      </c>
      <c r="D167" t="s">
        <v>10</v>
      </c>
      <c r="E167" t="s">
        <v>24</v>
      </c>
      <c r="F167">
        <v>6</v>
      </c>
      <c r="G167">
        <v>1200</v>
      </c>
      <c r="H167">
        <v>7200</v>
      </c>
    </row>
    <row r="168" spans="1:8" x14ac:dyDescent="0.35">
      <c r="A168" s="2">
        <v>167</v>
      </c>
      <c r="B168" s="2" t="s">
        <v>8</v>
      </c>
      <c r="C168" s="2" t="s">
        <v>9</v>
      </c>
      <c r="D168" s="2" t="s">
        <v>13</v>
      </c>
      <c r="E168" s="2" t="s">
        <v>24</v>
      </c>
      <c r="F168" s="2">
        <v>1</v>
      </c>
      <c r="G168" s="2">
        <v>180</v>
      </c>
      <c r="H168" s="2">
        <v>180</v>
      </c>
    </row>
    <row r="169" spans="1:8" x14ac:dyDescent="0.35">
      <c r="A169">
        <v>168</v>
      </c>
      <c r="B169" t="s">
        <v>22</v>
      </c>
      <c r="C169" t="s">
        <v>23</v>
      </c>
      <c r="D169" t="s">
        <v>13</v>
      </c>
      <c r="E169" t="s">
        <v>11</v>
      </c>
      <c r="F169">
        <v>5</v>
      </c>
      <c r="G169">
        <v>900</v>
      </c>
      <c r="H169">
        <v>4500</v>
      </c>
    </row>
    <row r="170" spans="1:8" x14ac:dyDescent="0.35">
      <c r="A170" s="2">
        <v>169</v>
      </c>
      <c r="B170" s="2" t="s">
        <v>29</v>
      </c>
      <c r="C170" s="2" t="s">
        <v>28</v>
      </c>
      <c r="D170" s="2" t="s">
        <v>20</v>
      </c>
      <c r="E170" s="2" t="s">
        <v>11</v>
      </c>
      <c r="F170" s="2">
        <v>15</v>
      </c>
      <c r="G170" s="2">
        <v>1200</v>
      </c>
      <c r="H170" s="2">
        <v>18000</v>
      </c>
    </row>
    <row r="171" spans="1:8" x14ac:dyDescent="0.35">
      <c r="A171">
        <v>170</v>
      </c>
      <c r="B171" t="s">
        <v>29</v>
      </c>
      <c r="C171" t="s">
        <v>28</v>
      </c>
      <c r="D171" t="s">
        <v>13</v>
      </c>
      <c r="E171" t="s">
        <v>26</v>
      </c>
      <c r="F171">
        <v>15</v>
      </c>
      <c r="G171">
        <v>1200</v>
      </c>
      <c r="H171">
        <v>18000</v>
      </c>
    </row>
    <row r="172" spans="1:8" x14ac:dyDescent="0.35">
      <c r="A172" s="2">
        <v>171</v>
      </c>
      <c r="B172" s="2" t="s">
        <v>15</v>
      </c>
      <c r="C172" s="2" t="s">
        <v>9</v>
      </c>
      <c r="D172" s="2" t="s">
        <v>20</v>
      </c>
      <c r="E172" s="2" t="s">
        <v>24</v>
      </c>
      <c r="F172" s="2">
        <v>3</v>
      </c>
      <c r="G172" s="2">
        <v>120</v>
      </c>
      <c r="H172" s="2">
        <v>360</v>
      </c>
    </row>
    <row r="173" spans="1:8" x14ac:dyDescent="0.35">
      <c r="A173">
        <v>172</v>
      </c>
      <c r="B173" t="s">
        <v>27</v>
      </c>
      <c r="C173" t="s">
        <v>28</v>
      </c>
      <c r="D173" t="s">
        <v>16</v>
      </c>
      <c r="E173" t="s">
        <v>14</v>
      </c>
      <c r="F173">
        <v>11</v>
      </c>
      <c r="G173">
        <v>4500</v>
      </c>
      <c r="H173">
        <v>49500</v>
      </c>
    </row>
    <row r="174" spans="1:8" x14ac:dyDescent="0.35">
      <c r="A174" s="2">
        <v>173</v>
      </c>
      <c r="B174" s="2" t="s">
        <v>8</v>
      </c>
      <c r="C174" s="2" t="s">
        <v>9</v>
      </c>
      <c r="D174" s="2" t="s">
        <v>20</v>
      </c>
      <c r="E174" s="2" t="s">
        <v>11</v>
      </c>
      <c r="F174" s="2">
        <v>6</v>
      </c>
      <c r="G174" s="2">
        <v>180</v>
      </c>
      <c r="H174" s="2">
        <v>1080</v>
      </c>
    </row>
    <row r="175" spans="1:8" x14ac:dyDescent="0.35">
      <c r="A175">
        <v>174</v>
      </c>
      <c r="B175" t="s">
        <v>19</v>
      </c>
      <c r="C175" t="s">
        <v>9</v>
      </c>
      <c r="D175" t="s">
        <v>10</v>
      </c>
      <c r="E175" t="s">
        <v>14</v>
      </c>
      <c r="F175">
        <v>9</v>
      </c>
      <c r="G175">
        <v>250</v>
      </c>
      <c r="H175">
        <v>2250</v>
      </c>
    </row>
    <row r="176" spans="1:8" x14ac:dyDescent="0.35">
      <c r="A176" s="2">
        <v>175</v>
      </c>
      <c r="B176" s="2" t="s">
        <v>8</v>
      </c>
      <c r="C176" s="2" t="s">
        <v>9</v>
      </c>
      <c r="D176" s="2" t="s">
        <v>13</v>
      </c>
      <c r="E176" s="2" t="s">
        <v>11</v>
      </c>
      <c r="F176" s="2">
        <v>12</v>
      </c>
      <c r="G176" s="2">
        <v>180</v>
      </c>
      <c r="H176" s="2">
        <v>2160</v>
      </c>
    </row>
    <row r="177" spans="1:8" x14ac:dyDescent="0.35">
      <c r="A177">
        <v>176</v>
      </c>
      <c r="B177" t="s">
        <v>29</v>
      </c>
      <c r="C177" t="s">
        <v>28</v>
      </c>
      <c r="D177" t="s">
        <v>12</v>
      </c>
      <c r="E177" t="s">
        <v>14</v>
      </c>
      <c r="F177">
        <v>13</v>
      </c>
      <c r="G177">
        <v>1200</v>
      </c>
      <c r="H177">
        <v>15600</v>
      </c>
    </row>
    <row r="178" spans="1:8" x14ac:dyDescent="0.35">
      <c r="A178" s="2">
        <v>177</v>
      </c>
      <c r="B178" s="2" t="s">
        <v>8</v>
      </c>
      <c r="C178" s="2" t="s">
        <v>9</v>
      </c>
      <c r="D178" s="2" t="s">
        <v>12</v>
      </c>
      <c r="E178" s="2" t="s">
        <v>14</v>
      </c>
      <c r="F178" s="2">
        <v>15</v>
      </c>
      <c r="G178" s="2">
        <v>180</v>
      </c>
      <c r="H178" s="2">
        <v>2700</v>
      </c>
    </row>
    <row r="179" spans="1:8" x14ac:dyDescent="0.35">
      <c r="A179">
        <v>178</v>
      </c>
      <c r="B179" t="s">
        <v>19</v>
      </c>
      <c r="C179" t="s">
        <v>9</v>
      </c>
      <c r="D179" t="s">
        <v>12</v>
      </c>
      <c r="E179" t="s">
        <v>11</v>
      </c>
      <c r="F179">
        <v>2</v>
      </c>
      <c r="G179">
        <v>250</v>
      </c>
      <c r="H179">
        <v>500</v>
      </c>
    </row>
    <row r="180" spans="1:8" x14ac:dyDescent="0.35">
      <c r="A180" s="2">
        <v>179</v>
      </c>
      <c r="B180" s="2" t="s">
        <v>8</v>
      </c>
      <c r="C180" s="2" t="s">
        <v>9</v>
      </c>
      <c r="D180" s="2" t="s">
        <v>13</v>
      </c>
      <c r="E180" s="2" t="s">
        <v>24</v>
      </c>
      <c r="F180" s="2">
        <v>6</v>
      </c>
      <c r="G180" s="2">
        <v>180</v>
      </c>
      <c r="H180" s="2">
        <v>1080</v>
      </c>
    </row>
    <row r="181" spans="1:8" x14ac:dyDescent="0.35">
      <c r="A181">
        <v>180</v>
      </c>
      <c r="B181" t="s">
        <v>15</v>
      </c>
      <c r="C181" t="s">
        <v>9</v>
      </c>
      <c r="D181" t="s">
        <v>12</v>
      </c>
      <c r="E181" t="s">
        <v>14</v>
      </c>
      <c r="F181">
        <v>11</v>
      </c>
      <c r="G181">
        <v>120</v>
      </c>
      <c r="H181">
        <v>1320</v>
      </c>
    </row>
    <row r="182" spans="1:8" x14ac:dyDescent="0.35">
      <c r="A182" s="2">
        <v>181</v>
      </c>
      <c r="B182" s="2" t="s">
        <v>8</v>
      </c>
      <c r="C182" s="2" t="s">
        <v>9</v>
      </c>
      <c r="D182" s="2" t="s">
        <v>13</v>
      </c>
      <c r="E182" s="2" t="s">
        <v>26</v>
      </c>
      <c r="F182" s="2">
        <v>6</v>
      </c>
      <c r="G182" s="2">
        <v>180</v>
      </c>
      <c r="H182" s="2">
        <v>1080</v>
      </c>
    </row>
    <row r="183" spans="1:8" x14ac:dyDescent="0.35">
      <c r="A183">
        <v>182</v>
      </c>
      <c r="B183" t="s">
        <v>19</v>
      </c>
      <c r="C183" t="s">
        <v>9</v>
      </c>
      <c r="D183" t="s">
        <v>12</v>
      </c>
      <c r="E183" t="s">
        <v>26</v>
      </c>
      <c r="F183">
        <v>2</v>
      </c>
      <c r="G183">
        <v>250</v>
      </c>
      <c r="H183">
        <v>500</v>
      </c>
    </row>
    <row r="184" spans="1:8" x14ac:dyDescent="0.35">
      <c r="A184" s="2">
        <v>183</v>
      </c>
      <c r="B184" s="2" t="s">
        <v>29</v>
      </c>
      <c r="C184" s="2" t="s">
        <v>28</v>
      </c>
      <c r="D184" s="2" t="s">
        <v>13</v>
      </c>
      <c r="E184" s="2" t="s">
        <v>26</v>
      </c>
      <c r="F184" s="2">
        <v>11</v>
      </c>
      <c r="G184" s="2">
        <v>1200</v>
      </c>
      <c r="H184" s="2">
        <v>13200</v>
      </c>
    </row>
    <row r="185" spans="1:8" x14ac:dyDescent="0.35">
      <c r="A185">
        <v>184</v>
      </c>
      <c r="B185" t="s">
        <v>8</v>
      </c>
      <c r="C185" t="s">
        <v>9</v>
      </c>
      <c r="D185" t="s">
        <v>12</v>
      </c>
      <c r="E185" t="s">
        <v>14</v>
      </c>
      <c r="F185">
        <v>13</v>
      </c>
      <c r="G185">
        <v>180</v>
      </c>
      <c r="H185">
        <v>2340</v>
      </c>
    </row>
    <row r="186" spans="1:8" x14ac:dyDescent="0.35">
      <c r="A186" s="2">
        <v>185</v>
      </c>
      <c r="B186" s="2" t="s">
        <v>30</v>
      </c>
      <c r="C186" s="2" t="s">
        <v>9</v>
      </c>
      <c r="D186" s="2" t="s">
        <v>20</v>
      </c>
      <c r="E186" s="2" t="s">
        <v>11</v>
      </c>
      <c r="F186" s="2">
        <v>9</v>
      </c>
      <c r="G186" s="2">
        <v>300</v>
      </c>
      <c r="H186" s="2">
        <v>2700</v>
      </c>
    </row>
    <row r="187" spans="1:8" x14ac:dyDescent="0.35">
      <c r="A187">
        <v>186</v>
      </c>
      <c r="B187" t="s">
        <v>21</v>
      </c>
      <c r="C187" t="s">
        <v>18</v>
      </c>
      <c r="D187" t="s">
        <v>13</v>
      </c>
      <c r="E187" t="s">
        <v>24</v>
      </c>
      <c r="F187">
        <v>8</v>
      </c>
      <c r="G187">
        <v>900</v>
      </c>
      <c r="H187">
        <v>7200</v>
      </c>
    </row>
    <row r="188" spans="1:8" x14ac:dyDescent="0.35">
      <c r="A188" s="2">
        <v>187</v>
      </c>
      <c r="B188" s="2" t="s">
        <v>19</v>
      </c>
      <c r="C188" s="2" t="s">
        <v>9</v>
      </c>
      <c r="D188" s="2" t="s">
        <v>10</v>
      </c>
      <c r="E188" s="2" t="s">
        <v>24</v>
      </c>
      <c r="F188" s="2">
        <v>5</v>
      </c>
      <c r="G188" s="2">
        <v>250</v>
      </c>
      <c r="H188" s="2">
        <v>1250</v>
      </c>
    </row>
    <row r="189" spans="1:8" x14ac:dyDescent="0.35">
      <c r="A189">
        <v>188</v>
      </c>
      <c r="B189" t="s">
        <v>8</v>
      </c>
      <c r="C189" t="s">
        <v>9</v>
      </c>
      <c r="D189" t="s">
        <v>20</v>
      </c>
      <c r="E189" t="s">
        <v>26</v>
      </c>
      <c r="F189">
        <v>15</v>
      </c>
      <c r="G189">
        <v>180</v>
      </c>
      <c r="H189">
        <v>2700</v>
      </c>
    </row>
    <row r="190" spans="1:8" x14ac:dyDescent="0.35">
      <c r="A190" s="2">
        <v>189</v>
      </c>
      <c r="B190" s="2" t="s">
        <v>15</v>
      </c>
      <c r="C190" s="2" t="s">
        <v>9</v>
      </c>
      <c r="D190" s="2" t="s">
        <v>16</v>
      </c>
      <c r="E190" s="2" t="s">
        <v>26</v>
      </c>
      <c r="F190" s="2">
        <v>6</v>
      </c>
      <c r="G190" s="2">
        <v>120</v>
      </c>
      <c r="H190" s="2">
        <v>720</v>
      </c>
    </row>
    <row r="191" spans="1:8" x14ac:dyDescent="0.35">
      <c r="A191">
        <v>190</v>
      </c>
      <c r="B191" t="s">
        <v>27</v>
      </c>
      <c r="C191" t="s">
        <v>28</v>
      </c>
      <c r="D191" t="s">
        <v>13</v>
      </c>
      <c r="E191" t="s">
        <v>24</v>
      </c>
      <c r="F191">
        <v>1</v>
      </c>
      <c r="G191">
        <v>4500</v>
      </c>
      <c r="H191">
        <v>4500</v>
      </c>
    </row>
    <row r="192" spans="1:8" x14ac:dyDescent="0.35">
      <c r="A192" s="2">
        <v>191</v>
      </c>
      <c r="B192" s="2" t="s">
        <v>27</v>
      </c>
      <c r="C192" s="2" t="s">
        <v>28</v>
      </c>
      <c r="D192" s="2" t="s">
        <v>13</v>
      </c>
      <c r="E192" s="2" t="s">
        <v>11</v>
      </c>
      <c r="F192" s="2">
        <v>10</v>
      </c>
      <c r="G192" s="2">
        <v>4500</v>
      </c>
      <c r="H192" s="2">
        <v>45000</v>
      </c>
    </row>
    <row r="193" spans="1:8" x14ac:dyDescent="0.35">
      <c r="A193">
        <v>192</v>
      </c>
      <c r="B193" t="s">
        <v>8</v>
      </c>
      <c r="C193" t="s">
        <v>9</v>
      </c>
      <c r="D193" t="s">
        <v>10</v>
      </c>
      <c r="E193" t="s">
        <v>24</v>
      </c>
      <c r="F193">
        <v>1</v>
      </c>
      <c r="G193">
        <v>180</v>
      </c>
      <c r="H193">
        <v>180</v>
      </c>
    </row>
    <row r="194" spans="1:8" x14ac:dyDescent="0.35">
      <c r="A194" s="2">
        <v>193</v>
      </c>
      <c r="B194" s="2" t="s">
        <v>17</v>
      </c>
      <c r="C194" s="2" t="s">
        <v>18</v>
      </c>
      <c r="D194" s="2" t="s">
        <v>10</v>
      </c>
      <c r="E194" s="2" t="s">
        <v>24</v>
      </c>
      <c r="F194" s="2">
        <v>6</v>
      </c>
      <c r="G194" s="2">
        <v>700</v>
      </c>
      <c r="H194" s="2">
        <v>4200</v>
      </c>
    </row>
    <row r="195" spans="1:8" x14ac:dyDescent="0.35">
      <c r="A195">
        <v>194</v>
      </c>
      <c r="B195" t="s">
        <v>27</v>
      </c>
      <c r="C195" t="s">
        <v>28</v>
      </c>
      <c r="D195" t="s">
        <v>16</v>
      </c>
      <c r="E195" t="s">
        <v>24</v>
      </c>
      <c r="F195">
        <v>7</v>
      </c>
      <c r="G195">
        <v>4500</v>
      </c>
      <c r="H195">
        <v>31500</v>
      </c>
    </row>
    <row r="196" spans="1:8" x14ac:dyDescent="0.35">
      <c r="A196" s="2">
        <v>195</v>
      </c>
      <c r="B196" s="2" t="s">
        <v>8</v>
      </c>
      <c r="C196" s="2" t="s">
        <v>9</v>
      </c>
      <c r="D196" s="2" t="s">
        <v>20</v>
      </c>
      <c r="E196" s="2" t="s">
        <v>24</v>
      </c>
      <c r="F196" s="2">
        <v>1</v>
      </c>
      <c r="G196" s="2">
        <v>180</v>
      </c>
      <c r="H196" s="2">
        <v>180</v>
      </c>
    </row>
    <row r="197" spans="1:8" x14ac:dyDescent="0.35">
      <c r="A197">
        <v>196</v>
      </c>
      <c r="B197" t="s">
        <v>15</v>
      </c>
      <c r="C197" t="s">
        <v>9</v>
      </c>
      <c r="D197" t="s">
        <v>13</v>
      </c>
      <c r="E197" t="s">
        <v>26</v>
      </c>
      <c r="F197">
        <v>10</v>
      </c>
      <c r="G197">
        <v>120</v>
      </c>
      <c r="H197">
        <v>1200</v>
      </c>
    </row>
    <row r="198" spans="1:8" x14ac:dyDescent="0.35">
      <c r="A198" s="2">
        <v>197</v>
      </c>
      <c r="B198" s="2" t="s">
        <v>19</v>
      </c>
      <c r="C198" s="2" t="s">
        <v>9</v>
      </c>
      <c r="D198" s="2" t="s">
        <v>13</v>
      </c>
      <c r="E198" s="2" t="s">
        <v>11</v>
      </c>
      <c r="F198" s="2">
        <v>1</v>
      </c>
      <c r="G198" s="2">
        <v>250</v>
      </c>
      <c r="H198" s="2">
        <v>250</v>
      </c>
    </row>
    <row r="199" spans="1:8" x14ac:dyDescent="0.35">
      <c r="A199">
        <v>198</v>
      </c>
      <c r="B199" t="s">
        <v>21</v>
      </c>
      <c r="C199" t="s">
        <v>18</v>
      </c>
      <c r="D199" t="s">
        <v>10</v>
      </c>
      <c r="E199" t="s">
        <v>11</v>
      </c>
      <c r="F199">
        <v>13</v>
      </c>
      <c r="G199">
        <v>900</v>
      </c>
      <c r="H199">
        <v>11700</v>
      </c>
    </row>
    <row r="200" spans="1:8" x14ac:dyDescent="0.35">
      <c r="A200" s="2">
        <v>199</v>
      </c>
      <c r="B200" s="2" t="s">
        <v>29</v>
      </c>
      <c r="C200" s="2" t="s">
        <v>28</v>
      </c>
      <c r="D200" s="2" t="s">
        <v>10</v>
      </c>
      <c r="E200" s="2" t="s">
        <v>14</v>
      </c>
      <c r="F200" s="2">
        <v>6</v>
      </c>
      <c r="G200" s="2">
        <v>1200</v>
      </c>
      <c r="H200" s="2">
        <v>7200</v>
      </c>
    </row>
    <row r="201" spans="1:8" x14ac:dyDescent="0.35">
      <c r="A201" s="8">
        <v>200</v>
      </c>
      <c r="B201" s="8" t="s">
        <v>8</v>
      </c>
      <c r="C201" s="8" t="s">
        <v>9</v>
      </c>
      <c r="D201" s="8" t="s">
        <v>10</v>
      </c>
      <c r="E201" s="8" t="s">
        <v>14</v>
      </c>
      <c r="F201" s="8">
        <v>11</v>
      </c>
      <c r="G201" s="8">
        <v>180</v>
      </c>
      <c r="H201" s="8">
        <v>1980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="115" zoomScaleNormal="115" workbookViewId="0">
      <selection activeCell="H2" sqref="H2"/>
    </sheetView>
  </sheetViews>
  <sheetFormatPr defaultRowHeight="14.5" x14ac:dyDescent="0.35"/>
  <cols>
    <col min="1" max="1" width="13.7265625" customWidth="1"/>
    <col min="2" max="2" width="17.7265625" customWidth="1"/>
    <col min="3" max="3" width="17.54296875" customWidth="1"/>
    <col min="6" max="6" width="13.90625" customWidth="1"/>
    <col min="7" max="7" width="26.26953125" customWidth="1"/>
    <col min="8" max="8" width="21.6328125" customWidth="1"/>
  </cols>
  <sheetData>
    <row r="1" spans="1:8" x14ac:dyDescent="0.35">
      <c r="A1" s="5" t="s">
        <v>3</v>
      </c>
      <c r="B1" s="5" t="s">
        <v>2</v>
      </c>
      <c r="C1" s="5" t="s">
        <v>7</v>
      </c>
      <c r="F1" t="s">
        <v>35</v>
      </c>
      <c r="G1" t="s">
        <v>36</v>
      </c>
      <c r="H1" s="3">
        <f>DSUM(Base_Dados!A1:H201,"Valor Total",Critérios!A1:A2)</f>
        <v>223360</v>
      </c>
    </row>
    <row r="2" spans="1:8" x14ac:dyDescent="0.35">
      <c r="A2" s="6" t="s">
        <v>10</v>
      </c>
      <c r="B2" s="6" t="s">
        <v>18</v>
      </c>
      <c r="C2" s="6" t="s">
        <v>31</v>
      </c>
      <c r="F2" t="s">
        <v>37</v>
      </c>
      <c r="G2" t="s">
        <v>38</v>
      </c>
      <c r="H2">
        <f>DCOUNT(Base_Dados!A1:H201,"Valor Total",Critérios!A1:A2)</f>
        <v>35</v>
      </c>
    </row>
    <row r="3" spans="1:8" x14ac:dyDescent="0.35">
      <c r="F3" t="s">
        <v>39</v>
      </c>
      <c r="G3" t="s">
        <v>40</v>
      </c>
      <c r="H3">
        <f>DCOUNTA(Base_Dados!A1:H201,"Valor Total",Critérios!A1:A2)</f>
        <v>35</v>
      </c>
    </row>
    <row r="4" spans="1:8" x14ac:dyDescent="0.35">
      <c r="F4" t="s">
        <v>41</v>
      </c>
      <c r="G4" t="s">
        <v>42</v>
      </c>
      <c r="H4" s="3">
        <f>DAVERAGE(Base_Dados!A1:H201,"Valor Total",Critérios!A1:A2)</f>
        <v>6381.7142857142853</v>
      </c>
    </row>
    <row r="5" spans="1:8" x14ac:dyDescent="0.35">
      <c r="F5" t="s">
        <v>43</v>
      </c>
      <c r="G5" t="s">
        <v>44</v>
      </c>
      <c r="H5" s="3">
        <f>DMAX(Base_Dados!A1:H201,"Valor Total",Critérios!A1:A2)</f>
        <v>40500</v>
      </c>
    </row>
    <row r="6" spans="1:8" x14ac:dyDescent="0.35">
      <c r="F6" t="s">
        <v>45</v>
      </c>
      <c r="G6" t="s">
        <v>46</v>
      </c>
      <c r="H6" s="3">
        <f>DMIN(Base_Dados!A1:H201,"Valor Total",Critérios!A1:A2)</f>
        <v>120</v>
      </c>
    </row>
    <row r="7" spans="1:8" x14ac:dyDescent="0.35">
      <c r="F7" t="s">
        <v>35</v>
      </c>
      <c r="G7" t="s">
        <v>47</v>
      </c>
      <c r="H7" s="3">
        <f>DSUM(Base_Dados!A1:H201,"Valor Total",Critérios!A1:B2)</f>
        <v>39200</v>
      </c>
    </row>
    <row r="8" spans="1:8" x14ac:dyDescent="0.35">
      <c r="F8" t="s">
        <v>35</v>
      </c>
      <c r="G8" t="s">
        <v>48</v>
      </c>
      <c r="H8" s="3">
        <f>DSUM(Base_Dados!A1:H201,"Valor Total",Critérios!C1:C2)</f>
        <v>1471350</v>
      </c>
    </row>
  </sheetData>
  <dataValidations count="2">
    <dataValidation type="list" allowBlank="1" showInputMessage="1" showErrorMessage="1" sqref="A2" xr:uid="{F5A12B10-3874-4E05-A57B-FB7E6FD30E61}">
      <formula1>"Ana, João, Lucas, Carlos, Marina"</formula1>
    </dataValidation>
    <dataValidation type="list" allowBlank="1" showInputMessage="1" showErrorMessage="1" sqref="B2" xr:uid="{B5835F05-3A8A-4A26-8895-C8A25A165AA8}">
      <formula1>"Periférico, Escritório, Hardware, TI"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9"/>
  <sheetViews>
    <sheetView workbookViewId="0">
      <selection activeCell="C3" sqref="C3"/>
    </sheetView>
  </sheetViews>
  <sheetFormatPr defaultRowHeight="14.5" x14ac:dyDescent="0.35"/>
  <cols>
    <col min="1" max="3" width="50" customWidth="1"/>
  </cols>
  <sheetData>
    <row r="1" spans="1:3" x14ac:dyDescent="0.35">
      <c r="A1" s="1" t="s">
        <v>32</v>
      </c>
      <c r="B1" s="1" t="s">
        <v>33</v>
      </c>
      <c r="C1" s="1" t="s">
        <v>34</v>
      </c>
    </row>
    <row r="2" spans="1:3" x14ac:dyDescent="0.35">
      <c r="A2" t="s">
        <v>35</v>
      </c>
      <c r="B2" t="s">
        <v>36</v>
      </c>
      <c r="C2" s="3">
        <f>DSUM(Base_Dados!A1:H201,"Valor Total",Critérios!A1:A2)</f>
        <v>223360</v>
      </c>
    </row>
    <row r="3" spans="1:3" x14ac:dyDescent="0.35">
      <c r="A3" t="s">
        <v>37</v>
      </c>
      <c r="B3" t="s">
        <v>38</v>
      </c>
      <c r="C3">
        <f>DCOUNT(Base_Dados!A1:H201,"Valor Total",Critérios!A1:A2)</f>
        <v>35</v>
      </c>
    </row>
    <row r="4" spans="1:3" x14ac:dyDescent="0.35">
      <c r="A4" t="s">
        <v>39</v>
      </c>
      <c r="B4" t="s">
        <v>40</v>
      </c>
      <c r="C4">
        <f>DCOUNTA(Base_Dados!A1:H201,"Produto",Critérios!A1:A2)</f>
        <v>35</v>
      </c>
    </row>
    <row r="5" spans="1:3" x14ac:dyDescent="0.35">
      <c r="A5" t="s">
        <v>41</v>
      </c>
      <c r="B5" t="s">
        <v>42</v>
      </c>
      <c r="C5" s="3">
        <f>DAVERAGE(Base_Dados!A1:H201,"Valor Total",Critérios!A1:A2)</f>
        <v>6381.7142857142853</v>
      </c>
    </row>
    <row r="6" spans="1:3" x14ac:dyDescent="0.35">
      <c r="A6" t="s">
        <v>43</v>
      </c>
      <c r="B6" t="s">
        <v>44</v>
      </c>
      <c r="C6" s="3">
        <f>DMAX(Base_Dados!A1:H201,"Valor Total",Critérios!A1:A2)</f>
        <v>40500</v>
      </c>
    </row>
    <row r="7" spans="1:3" x14ac:dyDescent="0.35">
      <c r="A7" t="s">
        <v>45</v>
      </c>
      <c r="B7" t="s">
        <v>46</v>
      </c>
      <c r="C7" s="3">
        <f>DMIN(Base_Dados!A1:H201,"Valor Total",Critérios!A1:A2)</f>
        <v>120</v>
      </c>
    </row>
    <row r="8" spans="1:3" x14ac:dyDescent="0.35">
      <c r="A8" t="s">
        <v>35</v>
      </c>
      <c r="B8" t="s">
        <v>47</v>
      </c>
      <c r="C8" s="3">
        <f>DSUM(Base_Dados!A1:H201,"Valor Total",Critérios!A1:B2)</f>
        <v>39200</v>
      </c>
    </row>
    <row r="9" spans="1:3" x14ac:dyDescent="0.35">
      <c r="A9" t="s">
        <v>35</v>
      </c>
      <c r="B9" t="s">
        <v>48</v>
      </c>
      <c r="C9" s="3">
        <f>DSUM(Base_Dados!A1:H201,"Valor Total",Critérios!C1:C2)</f>
        <v>1471350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4"/>
  <sheetViews>
    <sheetView tabSelected="1" topLeftCell="A4" zoomScale="115" zoomScaleNormal="115" workbookViewId="0">
      <selection activeCell="B10" sqref="B10"/>
    </sheetView>
  </sheetViews>
  <sheetFormatPr defaultRowHeight="14.5" x14ac:dyDescent="0.35"/>
  <cols>
    <col min="1" max="1" width="64.54296875" bestFit="1" customWidth="1"/>
    <col min="2" max="2" width="38.81640625" customWidth="1"/>
  </cols>
  <sheetData>
    <row r="1" spans="1:3" x14ac:dyDescent="0.35">
      <c r="A1" s="1" t="s">
        <v>49</v>
      </c>
    </row>
    <row r="3" spans="1:3" x14ac:dyDescent="0.35">
      <c r="A3" t="s">
        <v>50</v>
      </c>
      <c r="B3" s="3">
        <f>DSUM(Base_Dados[#All],"Valor Total",A14:A15)</f>
        <v>164630</v>
      </c>
    </row>
    <row r="4" spans="1:3" x14ac:dyDescent="0.35">
      <c r="A4" t="s">
        <v>51</v>
      </c>
      <c r="B4">
        <f>DCOUNT(Base_Dados[#All],"Valor Total",A17:A18)</f>
        <v>35</v>
      </c>
    </row>
    <row r="5" spans="1:3" x14ac:dyDescent="0.35">
      <c r="A5" t="s">
        <v>52</v>
      </c>
      <c r="B5" s="3">
        <f>DAVERAGE(Base_Dados[#All],"Valor Total",B14:B15)</f>
        <v>5285.9375</v>
      </c>
    </row>
    <row r="6" spans="1:3" x14ac:dyDescent="0.35">
      <c r="A6" t="s">
        <v>53</v>
      </c>
      <c r="B6" s="3">
        <f>DMAX(Base_Dados[#All],"Valor Total",A20:A21)</f>
        <v>67500</v>
      </c>
    </row>
    <row r="7" spans="1:3" x14ac:dyDescent="0.35">
      <c r="A7" t="s">
        <v>54</v>
      </c>
      <c r="B7">
        <f>DMIN(Base_Dados[#All],"valor total",B20:B21)</f>
        <v>120</v>
      </c>
    </row>
    <row r="8" spans="1:3" x14ac:dyDescent="0.35">
      <c r="A8" t="s">
        <v>55</v>
      </c>
      <c r="B8" s="3">
        <f>DSUM(Base_Dados[#All],"Valor Total", A23:B24)</f>
        <v>84500</v>
      </c>
    </row>
    <row r="9" spans="1:3" x14ac:dyDescent="0.35">
      <c r="A9" t="s">
        <v>56</v>
      </c>
      <c r="B9" s="3">
        <f>DSUM(Base_Dados[#All],"valor total",C14:C15)</f>
        <v>1223350</v>
      </c>
    </row>
    <row r="10" spans="1:3" x14ac:dyDescent="0.35">
      <c r="A10" t="s">
        <v>57</v>
      </c>
      <c r="B10">
        <f>DCOUNT(Base_Dados[#All],"ID",B17:B18)</f>
        <v>43</v>
      </c>
    </row>
    <row r="14" spans="1:3" x14ac:dyDescent="0.35">
      <c r="A14" s="5" t="s">
        <v>3</v>
      </c>
      <c r="B14" s="5" t="s">
        <v>2</v>
      </c>
      <c r="C14" s="5" t="s">
        <v>7</v>
      </c>
    </row>
    <row r="15" spans="1:3" x14ac:dyDescent="0.35">
      <c r="A15" s="6" t="s">
        <v>12</v>
      </c>
      <c r="B15" t="s">
        <v>23</v>
      </c>
      <c r="C15" s="6" t="s">
        <v>58</v>
      </c>
    </row>
    <row r="17" spans="1:2" x14ac:dyDescent="0.35">
      <c r="A17" s="5" t="s">
        <v>3</v>
      </c>
      <c r="B17" s="5" t="s">
        <v>2</v>
      </c>
    </row>
    <row r="18" spans="1:2" x14ac:dyDescent="0.35">
      <c r="A18" s="6" t="s">
        <v>10</v>
      </c>
      <c r="B18" s="6" t="s">
        <v>28</v>
      </c>
    </row>
    <row r="20" spans="1:2" x14ac:dyDescent="0.35">
      <c r="A20" s="5" t="s">
        <v>3</v>
      </c>
      <c r="B20" s="5" t="s">
        <v>2</v>
      </c>
    </row>
    <row r="21" spans="1:2" x14ac:dyDescent="0.35">
      <c r="A21" s="6" t="s">
        <v>20</v>
      </c>
      <c r="B21" s="6" t="s">
        <v>9</v>
      </c>
    </row>
    <row r="23" spans="1:2" x14ac:dyDescent="0.35">
      <c r="A23" t="s">
        <v>3</v>
      </c>
      <c r="B23" t="s">
        <v>4</v>
      </c>
    </row>
    <row r="24" spans="1:2" x14ac:dyDescent="0.35">
      <c r="A24" s="6" t="s">
        <v>20</v>
      </c>
      <c r="B24" s="9" t="s">
        <v>14</v>
      </c>
    </row>
  </sheetData>
  <dataValidations count="3">
    <dataValidation type="list" allowBlank="1" showInputMessage="1" showErrorMessage="1" sqref="B18 B21" xr:uid="{74ED06ED-F170-40D5-88D4-41AC13AFF6E2}">
      <formula1>"Periférico, Escritório, Hardware, TI"</formula1>
    </dataValidation>
    <dataValidation type="list" allowBlank="1" showInputMessage="1" showErrorMessage="1" sqref="A15 A18 A21 A24" xr:uid="{1C93B700-C333-4856-99E2-15FCBA110B04}">
      <formula1>"Ana, João, Lucas, Carlos, Marina"</formula1>
    </dataValidation>
    <dataValidation type="list" allowBlank="1" showInputMessage="1" showErrorMessage="1" sqref="B24" xr:uid="{11814F86-1BB5-4490-8754-E91A0FF343E6}">
      <formula1>"Oeste, Norte, Sul, Leste"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Base_Dados</vt:lpstr>
      <vt:lpstr>Critérios</vt:lpstr>
      <vt:lpstr>Exemplos_BD</vt:lpstr>
      <vt:lpstr>Exercicios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Luis Fernando Spoljaric</cp:lastModifiedBy>
  <dcterms:created xsi:type="dcterms:W3CDTF">2026-05-25T11:34:08Z</dcterms:created>
  <dcterms:modified xsi:type="dcterms:W3CDTF">2026-05-25T17:55:52Z</dcterms:modified>
</cp:coreProperties>
</file>