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 de notas" sheetId="1" state="visible" r:id="rId1"/>
    <sheet xmlns:r="http://schemas.openxmlformats.org/officeDocument/2006/relationships" name="Instruções" sheetId="2" state="visible" r:id="rId2"/>
    <sheet xmlns:r="http://schemas.openxmlformats.org/officeDocument/2006/relationships" name="Gabarito" sheetId="3" state="visible" r:id="rId3"/>
  </sheets>
  <definedNames>
    <definedName name="_xlnm._FilterDatabase" localSheetId="0" hidden="1">'Planilha de notas'!$A$1:$O$41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548235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4" borderId="0" pivotButton="0" quotePrefix="0" xfId="0"/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adosNotas" displayName="DadosNotas" ref="A1:O41" headerRowCount="1">
  <autoFilter ref="A1:O41"/>
  <tableColumns count="15">
    <tableColumn id="1" name="ID"/>
    <tableColumn id="2" name="Aluno"/>
    <tableColumn id="3" name="Turma"/>
    <tableColumn id="4" name="Nota 1"/>
    <tableColumn id="5" name="Nota 2"/>
    <tableColumn id="6" name="Nota 3"/>
    <tableColumn id="7" name="Trabalho"/>
    <tableColumn id="8" name="Prova"/>
    <tableColumn id="9" name="Soma"/>
    <tableColumn id="10" name="Média"/>
    <tableColumn id="11" name="MULT (N1×N2)"/>
    <tableColumn id="12" name="Máximo"/>
    <tableColumn id="13" name="Mínimo"/>
    <tableColumn id="14" name="Situação (SE)"/>
    <tableColumn id="15" name="Classificação (SES)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8" customWidth="1" min="11" max="11"/>
    <col width="12" customWidth="1" min="12" max="12"/>
    <col width="12" customWidth="1" min="13" max="13"/>
    <col width="20" customWidth="1" min="14" max="14"/>
    <col width="22" customWidth="1" min="15" max="15"/>
  </cols>
  <sheetData>
    <row r="1" ht="34" customHeight="1">
      <c r="A1" s="1" t="inlineStr">
        <is>
          <t>ID</t>
        </is>
      </c>
      <c r="B1" s="1" t="inlineStr">
        <is>
          <t>Aluno</t>
        </is>
      </c>
      <c r="C1" s="1" t="inlineStr">
        <is>
          <t>Turma</t>
        </is>
      </c>
      <c r="D1" s="1" t="inlineStr">
        <is>
          <t>Nota 1</t>
        </is>
      </c>
      <c r="E1" s="1" t="inlineStr">
        <is>
          <t>Nota 2</t>
        </is>
      </c>
      <c r="F1" s="1" t="inlineStr">
        <is>
          <t>Nota 3</t>
        </is>
      </c>
      <c r="G1" s="1" t="inlineStr">
        <is>
          <t>Trabalho</t>
        </is>
      </c>
      <c r="H1" s="1" t="inlineStr">
        <is>
          <t>Prova</t>
        </is>
      </c>
      <c r="I1" s="1" t="inlineStr">
        <is>
          <t>Soma</t>
        </is>
      </c>
      <c r="J1" s="1" t="inlineStr">
        <is>
          <t>Média</t>
        </is>
      </c>
      <c r="K1" s="1" t="inlineStr">
        <is>
          <t>MULT (N1×N2)</t>
        </is>
      </c>
      <c r="L1" s="1" t="inlineStr">
        <is>
          <t>Máximo</t>
        </is>
      </c>
      <c r="M1" s="1" t="inlineStr">
        <is>
          <t>Mínimo</t>
        </is>
      </c>
      <c r="N1" s="1" t="inlineStr">
        <is>
          <t>Situação (SE)</t>
        </is>
      </c>
      <c r="O1" s="1" t="inlineStr">
        <is>
          <t>Classificação (SES)</t>
        </is>
      </c>
    </row>
    <row r="2">
      <c r="A2" s="2" t="n">
        <v>1</v>
      </c>
      <c r="B2" s="2" t="inlineStr">
        <is>
          <t>Ana Clara</t>
        </is>
      </c>
      <c r="C2" s="2" t="inlineStr">
        <is>
          <t>DS-1A</t>
        </is>
      </c>
      <c r="D2" s="3" t="n">
        <v>8.5</v>
      </c>
      <c r="E2" s="3" t="n">
        <v>7</v>
      </c>
      <c r="F2" s="3" t="n">
        <v>9</v>
      </c>
      <c r="G2" s="3" t="n">
        <v>9.199999999999999</v>
      </c>
      <c r="H2" s="3" t="n">
        <v>8</v>
      </c>
      <c r="I2" s="4">
        <f>SUM(D2:H2)</f>
        <v/>
      </c>
      <c r="J2" s="4">
        <f>AVERAGE(D2:H2)</f>
        <v/>
      </c>
      <c r="K2" s="4">
        <f>PRODUCT(D2,E2)</f>
        <v/>
      </c>
      <c r="L2" s="4">
        <f>MAX(D2:H2)</f>
        <v/>
      </c>
      <c r="M2" s="4">
        <f>MIN(D2:H2)</f>
        <v/>
      </c>
      <c r="N2" s="5">
        <f>IF(J2&gt;=7,"Aprovado",IF(J2&gt;=5,"Recuperação","Reprovado"))</f>
        <v/>
      </c>
      <c r="O2" s="5">
        <f>IFS(J2&gt;=9,"Excelente",J2&gt;=7,"Aprovado",J2&gt;=5,"Recuperação",J2&lt;5,"Reprovado")</f>
        <v/>
      </c>
    </row>
    <row r="3">
      <c r="A3" s="2" t="n">
        <v>2</v>
      </c>
      <c r="B3" s="2" t="inlineStr">
        <is>
          <t>Bruno Henrique</t>
        </is>
      </c>
      <c r="C3" s="2" t="inlineStr">
        <is>
          <t>DS-1B</t>
        </is>
      </c>
      <c r="D3" s="3" t="n">
        <v>5.5</v>
      </c>
      <c r="E3" s="3" t="n">
        <v>6</v>
      </c>
      <c r="F3" s="3" t="n">
        <v>6.5</v>
      </c>
      <c r="G3" s="3" t="n">
        <v>6</v>
      </c>
      <c r="H3" s="3" t="n">
        <v>6.2</v>
      </c>
      <c r="I3" s="4">
        <f>SUM(D3:H3)</f>
        <v/>
      </c>
      <c r="J3" s="4">
        <f>AVERAGE(D3:H3)</f>
        <v/>
      </c>
      <c r="K3" s="4">
        <f>PRODUCT(D3,E3)</f>
        <v/>
      </c>
      <c r="L3" s="4">
        <f>MAX(D3:H3)</f>
        <v/>
      </c>
      <c r="M3" s="4">
        <f>MIN(D3:H3)</f>
        <v/>
      </c>
      <c r="N3" s="5">
        <f>IF(J3&gt;=7,"Aprovado",IF(J3&gt;=5,"Recuperação","Reprovado"))</f>
        <v/>
      </c>
      <c r="O3" s="5">
        <f>IFS(J3&gt;=9,"Excelente",J3&gt;=7,"Aprovado",J3&gt;=5,"Recuperação",J3&lt;5,"Reprovado")</f>
        <v/>
      </c>
    </row>
    <row r="4">
      <c r="A4" s="2" t="n">
        <v>3</v>
      </c>
      <c r="B4" s="2" t="inlineStr">
        <is>
          <t>Camila Souza</t>
        </is>
      </c>
      <c r="C4" s="2" t="inlineStr">
        <is>
          <t>DS-2A</t>
        </is>
      </c>
      <c r="D4" s="3" t="n">
        <v>9</v>
      </c>
      <c r="E4" s="3" t="n">
        <v>8.5</v>
      </c>
      <c r="F4" s="3" t="n">
        <v>9.5</v>
      </c>
      <c r="G4" s="3" t="n">
        <v>9.199999999999999</v>
      </c>
      <c r="H4" s="3" t="n">
        <v>9</v>
      </c>
      <c r="I4" s="4">
        <f>SUM(D4:H4)</f>
        <v/>
      </c>
      <c r="J4" s="4">
        <f>AVERAGE(D4:H4)</f>
        <v/>
      </c>
      <c r="K4" s="4">
        <f>PRODUCT(D4,E4)</f>
        <v/>
      </c>
      <c r="L4" s="4">
        <f>MAX(D4:H4)</f>
        <v/>
      </c>
      <c r="M4" s="4">
        <f>MIN(D4:H4)</f>
        <v/>
      </c>
      <c r="N4" s="5">
        <f>IF(J4&gt;=7,"Aprovado",IF(J4&gt;=5,"Recuperação","Reprovado"))</f>
        <v/>
      </c>
      <c r="O4" s="5">
        <f>IFS(J4&gt;=9,"Excelente",J4&gt;=7,"Aprovado",J4&gt;=5,"Recuperação",J4&lt;5,"Reprovado")</f>
        <v/>
      </c>
    </row>
    <row r="5">
      <c r="A5" s="2" t="n">
        <v>4</v>
      </c>
      <c r="B5" s="2" t="inlineStr">
        <is>
          <t>Daniel Oliveira</t>
        </is>
      </c>
      <c r="C5" s="2" t="inlineStr">
        <is>
          <t>DS-2B</t>
        </is>
      </c>
      <c r="D5" s="3" t="n">
        <v>4</v>
      </c>
      <c r="E5" s="3" t="n">
        <v>5</v>
      </c>
      <c r="F5" s="3" t="n">
        <v>4.5</v>
      </c>
      <c r="G5" s="3" t="n">
        <v>4.8</v>
      </c>
      <c r="H5" s="3" t="n">
        <v>4.8</v>
      </c>
      <c r="I5" s="4">
        <f>SUM(D5:H5)</f>
        <v/>
      </c>
      <c r="J5" s="4">
        <f>AVERAGE(D5:H5)</f>
        <v/>
      </c>
      <c r="K5" s="4">
        <f>PRODUCT(D5,E5)</f>
        <v/>
      </c>
      <c r="L5" s="4">
        <f>MAX(D5:H5)</f>
        <v/>
      </c>
      <c r="M5" s="4">
        <f>MIN(D5:H5)</f>
        <v/>
      </c>
      <c r="N5" s="5">
        <f>IF(J5&gt;=7,"Aprovado",IF(J5&gt;=5,"Recuperação","Reprovado"))</f>
        <v/>
      </c>
      <c r="O5" s="5">
        <f>IFS(J5&gt;=9,"Excelente",J5&gt;=7,"Aprovado",J5&gt;=5,"Recuperação",J5&lt;5,"Reprovado")</f>
        <v/>
      </c>
    </row>
    <row r="6">
      <c r="A6" s="2" t="n">
        <v>5</v>
      </c>
      <c r="B6" s="2" t="inlineStr">
        <is>
          <t>Eduarda Lima</t>
        </is>
      </c>
      <c r="C6" s="2" t="inlineStr">
        <is>
          <t>DS-1A</t>
        </is>
      </c>
      <c r="D6" s="3" t="n">
        <v>7</v>
      </c>
      <c r="E6" s="3" t="n">
        <v>7.5</v>
      </c>
      <c r="F6" s="3" t="n">
        <v>8</v>
      </c>
      <c r="G6" s="3" t="n">
        <v>7.5</v>
      </c>
      <c r="H6" s="3" t="n">
        <v>7.8</v>
      </c>
      <c r="I6" s="4">
        <f>SUM(D6:H6)</f>
        <v/>
      </c>
      <c r="J6" s="4">
        <f>AVERAGE(D6:H6)</f>
        <v/>
      </c>
      <c r="K6" s="4">
        <f>PRODUCT(D6,E6)</f>
        <v/>
      </c>
      <c r="L6" s="4">
        <f>MAX(D6:H6)</f>
        <v/>
      </c>
      <c r="M6" s="4">
        <f>MIN(D6:H6)</f>
        <v/>
      </c>
      <c r="N6" s="5">
        <f>IF(J6&gt;=7,"Aprovado",IF(J6&gt;=5,"Recuperação","Reprovado"))</f>
        <v/>
      </c>
      <c r="O6" s="5">
        <f>IFS(J6&gt;=9,"Excelente",J6&gt;=7,"Aprovado",J6&gt;=5,"Recuperação",J6&lt;5,"Reprovado")</f>
        <v/>
      </c>
    </row>
    <row r="7">
      <c r="A7" s="2" t="n">
        <v>6</v>
      </c>
      <c r="B7" s="2" t="inlineStr">
        <is>
          <t>Felipe Santos</t>
        </is>
      </c>
      <c r="C7" s="2" t="inlineStr">
        <is>
          <t>DS-1B</t>
        </is>
      </c>
      <c r="D7" s="3" t="n">
        <v>6</v>
      </c>
      <c r="E7" s="3" t="n">
        <v>5.5</v>
      </c>
      <c r="F7" s="3" t="n">
        <v>7</v>
      </c>
      <c r="G7" s="3" t="n">
        <v>6</v>
      </c>
      <c r="H7" s="3" t="n">
        <v>6.2</v>
      </c>
      <c r="I7" s="4">
        <f>SUM(D7:H7)</f>
        <v/>
      </c>
      <c r="J7" s="4">
        <f>AVERAGE(D7:H7)</f>
        <v/>
      </c>
      <c r="K7" s="4">
        <f>PRODUCT(D7,E7)</f>
        <v/>
      </c>
      <c r="L7" s="4">
        <f>MAX(D7:H7)</f>
        <v/>
      </c>
      <c r="M7" s="4">
        <f>MIN(D7:H7)</f>
        <v/>
      </c>
      <c r="N7" s="5">
        <f>IF(J7&gt;=7,"Aprovado",IF(J7&gt;=5,"Recuperação","Reprovado"))</f>
        <v/>
      </c>
      <c r="O7" s="5">
        <f>IFS(J7&gt;=9,"Excelente",J7&gt;=7,"Aprovado",J7&gt;=5,"Recuperação",J7&lt;5,"Reprovado")</f>
        <v/>
      </c>
    </row>
    <row r="8">
      <c r="A8" s="2" t="n">
        <v>7</v>
      </c>
      <c r="B8" s="2" t="inlineStr">
        <is>
          <t>Gabriela Alves</t>
        </is>
      </c>
      <c r="C8" s="2" t="inlineStr">
        <is>
          <t>DS-2A</t>
        </is>
      </c>
      <c r="D8" s="3" t="n">
        <v>10</v>
      </c>
      <c r="E8" s="3" t="n">
        <v>9</v>
      </c>
      <c r="F8" s="3" t="n">
        <v>9.5</v>
      </c>
      <c r="G8" s="3" t="n">
        <v>10</v>
      </c>
      <c r="H8" s="3" t="n">
        <v>9.199999999999999</v>
      </c>
      <c r="I8" s="4">
        <f>SUM(D8:H8)</f>
        <v/>
      </c>
      <c r="J8" s="4">
        <f>AVERAGE(D8:H8)</f>
        <v/>
      </c>
      <c r="K8" s="4">
        <f>PRODUCT(D8,E8)</f>
        <v/>
      </c>
      <c r="L8" s="4">
        <f>MAX(D8:H8)</f>
        <v/>
      </c>
      <c r="M8" s="4">
        <f>MIN(D8:H8)</f>
        <v/>
      </c>
      <c r="N8" s="5">
        <f>IF(J8&gt;=7,"Aprovado",IF(J8&gt;=5,"Recuperação","Reprovado"))</f>
        <v/>
      </c>
      <c r="O8" s="5">
        <f>IFS(J8&gt;=9,"Excelente",J8&gt;=7,"Aprovado",J8&gt;=5,"Recuperação",J8&lt;5,"Reprovado")</f>
        <v/>
      </c>
    </row>
    <row r="9">
      <c r="A9" s="2" t="n">
        <v>8</v>
      </c>
      <c r="B9" s="2" t="inlineStr">
        <is>
          <t>Heitor Costa</t>
        </is>
      </c>
      <c r="C9" s="2" t="inlineStr">
        <is>
          <t>DS-2B</t>
        </is>
      </c>
      <c r="D9" s="3" t="n">
        <v>3.5</v>
      </c>
      <c r="E9" s="3" t="n">
        <v>4</v>
      </c>
      <c r="F9" s="3" t="n">
        <v>5</v>
      </c>
      <c r="G9" s="3" t="n">
        <v>4.2</v>
      </c>
      <c r="H9" s="3" t="n">
        <v>4.5</v>
      </c>
      <c r="I9" s="4">
        <f>SUM(D9:H9)</f>
        <v/>
      </c>
      <c r="J9" s="4">
        <f>AVERAGE(D9:H9)</f>
        <v/>
      </c>
      <c r="K9" s="4">
        <f>PRODUCT(D9,E9)</f>
        <v/>
      </c>
      <c r="L9" s="4">
        <f>MAX(D9:H9)</f>
        <v/>
      </c>
      <c r="M9" s="4">
        <f>MIN(D9:H9)</f>
        <v/>
      </c>
      <c r="N9" s="5">
        <f>IF(J9&gt;=7,"Aprovado",IF(J9&gt;=5,"Recuperação","Reprovado"))</f>
        <v/>
      </c>
      <c r="O9" s="5">
        <f>IFS(J9&gt;=9,"Excelente",J9&gt;=7,"Aprovado",J9&gt;=5,"Recuperação",J9&lt;5,"Reprovado")</f>
        <v/>
      </c>
    </row>
    <row r="10">
      <c r="A10" s="2" t="n">
        <v>9</v>
      </c>
      <c r="B10" s="2" t="inlineStr">
        <is>
          <t>Isabela Rocha</t>
        </is>
      </c>
      <c r="C10" s="2" t="inlineStr">
        <is>
          <t>DS-1A</t>
        </is>
      </c>
      <c r="D10" s="3" t="n">
        <v>8</v>
      </c>
      <c r="E10" s="3" t="n">
        <v>8.5</v>
      </c>
      <c r="F10" s="3" t="n">
        <v>7.5</v>
      </c>
      <c r="G10" s="3" t="n">
        <v>7.8</v>
      </c>
      <c r="H10" s="3" t="n">
        <v>8</v>
      </c>
      <c r="I10" s="4">
        <f>SUM(D10:H10)</f>
        <v/>
      </c>
      <c r="J10" s="4">
        <f>AVERAGE(D10:H10)</f>
        <v/>
      </c>
      <c r="K10" s="4">
        <f>PRODUCT(D10,E10)</f>
        <v/>
      </c>
      <c r="L10" s="4">
        <f>MAX(D10:H10)</f>
        <v/>
      </c>
      <c r="M10" s="4">
        <f>MIN(D10:H10)</f>
        <v/>
      </c>
      <c r="N10" s="5">
        <f>IF(J10&gt;=7,"Aprovado",IF(J10&gt;=5,"Recuperação","Reprovado"))</f>
        <v/>
      </c>
      <c r="O10" s="5">
        <f>IFS(J10&gt;=9,"Excelente",J10&gt;=7,"Aprovado",J10&gt;=5,"Recuperação",J10&lt;5,"Reprovado")</f>
        <v/>
      </c>
    </row>
    <row r="11">
      <c r="A11" s="2" t="n">
        <v>10</v>
      </c>
      <c r="B11" s="2" t="inlineStr">
        <is>
          <t>João Pedro</t>
        </is>
      </c>
      <c r="C11" s="2" t="inlineStr">
        <is>
          <t>DS-1B</t>
        </is>
      </c>
      <c r="D11" s="3" t="n">
        <v>6.5</v>
      </c>
      <c r="E11" s="3" t="n">
        <v>7</v>
      </c>
      <c r="F11" s="3" t="n">
        <v>6</v>
      </c>
      <c r="G11" s="3" t="n">
        <v>6.8</v>
      </c>
      <c r="H11" s="3" t="n">
        <v>6.5</v>
      </c>
      <c r="I11" s="4">
        <f>SUM(D11:H11)</f>
        <v/>
      </c>
      <c r="J11" s="4">
        <f>AVERAGE(D11:H11)</f>
        <v/>
      </c>
      <c r="K11" s="4">
        <f>PRODUCT(D11,E11)</f>
        <v/>
      </c>
      <c r="L11" s="4">
        <f>MAX(D11:H11)</f>
        <v/>
      </c>
      <c r="M11" s="4">
        <f>MIN(D11:H11)</f>
        <v/>
      </c>
      <c r="N11" s="5">
        <f>IF(J11&gt;=7,"Aprovado",IF(J11&gt;=5,"Recuperação","Reprovado"))</f>
        <v/>
      </c>
      <c r="O11" s="5">
        <f>IFS(J11&gt;=9,"Excelente",J11&gt;=7,"Aprovado",J11&gt;=5,"Recuperação",J11&lt;5,"Reprovado")</f>
        <v/>
      </c>
    </row>
    <row r="12">
      <c r="A12" s="2" t="n">
        <v>11</v>
      </c>
      <c r="B12" s="2" t="inlineStr">
        <is>
          <t>Karen Martins</t>
        </is>
      </c>
      <c r="C12" s="2" t="inlineStr">
        <is>
          <t>DS-2A</t>
        </is>
      </c>
      <c r="D12" s="3" t="n">
        <v>5</v>
      </c>
      <c r="E12" s="3" t="n">
        <v>5.5</v>
      </c>
      <c r="F12" s="3" t="n">
        <v>6</v>
      </c>
      <c r="G12" s="3" t="n">
        <v>5</v>
      </c>
      <c r="H12" s="3" t="n">
        <v>5.8</v>
      </c>
      <c r="I12" s="4">
        <f>SUM(D12:H12)</f>
        <v/>
      </c>
      <c r="J12" s="4">
        <f>AVERAGE(D12:H12)</f>
        <v/>
      </c>
      <c r="K12" s="4">
        <f>PRODUCT(D12,E12)</f>
        <v/>
      </c>
      <c r="L12" s="4">
        <f>MAX(D12:H12)</f>
        <v/>
      </c>
      <c r="M12" s="4">
        <f>MIN(D12:H12)</f>
        <v/>
      </c>
      <c r="N12" s="5">
        <f>IF(J12&gt;=7,"Aprovado",IF(J12&gt;=5,"Recuperação","Reprovado"))</f>
        <v/>
      </c>
      <c r="O12" s="5">
        <f>IFS(J12&gt;=9,"Excelente",J12&gt;=7,"Aprovado",J12&gt;=5,"Recuperação",J12&lt;5,"Reprovado")</f>
        <v/>
      </c>
    </row>
    <row r="13">
      <c r="A13" s="2" t="n">
        <v>12</v>
      </c>
      <c r="B13" s="2" t="inlineStr">
        <is>
          <t>Lucas Ferreira</t>
        </is>
      </c>
      <c r="C13" s="2" t="inlineStr">
        <is>
          <t>DS-2B</t>
        </is>
      </c>
      <c r="D13" s="3" t="n">
        <v>7.5</v>
      </c>
      <c r="E13" s="3" t="n">
        <v>8</v>
      </c>
      <c r="F13" s="3" t="n">
        <v>8.5</v>
      </c>
      <c r="G13" s="3" t="n">
        <v>8</v>
      </c>
      <c r="H13" s="3" t="n">
        <v>8.199999999999999</v>
      </c>
      <c r="I13" s="4">
        <f>SUM(D13:H13)</f>
        <v/>
      </c>
      <c r="J13" s="4">
        <f>AVERAGE(D13:H13)</f>
        <v/>
      </c>
      <c r="K13" s="4">
        <f>PRODUCT(D13,E13)</f>
        <v/>
      </c>
      <c r="L13" s="4">
        <f>MAX(D13:H13)</f>
        <v/>
      </c>
      <c r="M13" s="4">
        <f>MIN(D13:H13)</f>
        <v/>
      </c>
      <c r="N13" s="5">
        <f>IF(J13&gt;=7,"Aprovado",IF(J13&gt;=5,"Recuperação","Reprovado"))</f>
        <v/>
      </c>
      <c r="O13" s="5">
        <f>IFS(J13&gt;=9,"Excelente",J13&gt;=7,"Aprovado",J13&gt;=5,"Recuperação",J13&lt;5,"Reprovado")</f>
        <v/>
      </c>
    </row>
    <row r="14">
      <c r="A14" s="2" t="n">
        <v>13</v>
      </c>
      <c r="B14" s="2" t="inlineStr">
        <is>
          <t>Mariana Ribeiro</t>
        </is>
      </c>
      <c r="C14" s="2" t="inlineStr">
        <is>
          <t>DS-1A</t>
        </is>
      </c>
      <c r="D14" s="3" t="n">
        <v>9.5</v>
      </c>
      <c r="E14" s="3" t="n">
        <v>9</v>
      </c>
      <c r="F14" s="3" t="n">
        <v>8.5</v>
      </c>
      <c r="G14" s="3" t="n">
        <v>9.5</v>
      </c>
      <c r="H14" s="3" t="n">
        <v>8.800000000000001</v>
      </c>
      <c r="I14" s="4">
        <f>SUM(D14:H14)</f>
        <v/>
      </c>
      <c r="J14" s="4">
        <f>AVERAGE(D14:H14)</f>
        <v/>
      </c>
      <c r="K14" s="4">
        <f>PRODUCT(D14,E14)</f>
        <v/>
      </c>
      <c r="L14" s="4">
        <f>MAX(D14:H14)</f>
        <v/>
      </c>
      <c r="M14" s="4">
        <f>MIN(D14:H14)</f>
        <v/>
      </c>
      <c r="N14" s="5">
        <f>IF(J14&gt;=7,"Aprovado",IF(J14&gt;=5,"Recuperação","Reprovado"))</f>
        <v/>
      </c>
      <c r="O14" s="5">
        <f>IFS(J14&gt;=9,"Excelente",J14&gt;=7,"Aprovado",J14&gt;=5,"Recuperação",J14&lt;5,"Reprovado")</f>
        <v/>
      </c>
    </row>
    <row r="15">
      <c r="A15" s="2" t="n">
        <v>14</v>
      </c>
      <c r="B15" s="2" t="inlineStr">
        <is>
          <t>Nicolas Gomes</t>
        </is>
      </c>
      <c r="C15" s="2" t="inlineStr">
        <is>
          <t>DS-1B</t>
        </is>
      </c>
      <c r="D15" s="3" t="n">
        <v>4.5</v>
      </c>
      <c r="E15" s="3" t="n">
        <v>3.5</v>
      </c>
      <c r="F15" s="3" t="n">
        <v>4</v>
      </c>
      <c r="G15" s="3" t="n">
        <v>4.2</v>
      </c>
      <c r="H15" s="3" t="n">
        <v>3.8</v>
      </c>
      <c r="I15" s="4">
        <f>SUM(D15:H15)</f>
        <v/>
      </c>
      <c r="J15" s="4">
        <f>AVERAGE(D15:H15)</f>
        <v/>
      </c>
      <c r="K15" s="4">
        <f>PRODUCT(D15,E15)</f>
        <v/>
      </c>
      <c r="L15" s="4">
        <f>MAX(D15:H15)</f>
        <v/>
      </c>
      <c r="M15" s="4">
        <f>MIN(D15:H15)</f>
        <v/>
      </c>
      <c r="N15" s="5">
        <f>IF(J15&gt;=7,"Aprovado",IF(J15&gt;=5,"Recuperação","Reprovado"))</f>
        <v/>
      </c>
      <c r="O15" s="5">
        <f>IFS(J15&gt;=9,"Excelente",J15&gt;=7,"Aprovado",J15&gt;=5,"Recuperação",J15&lt;5,"Reprovado")</f>
        <v/>
      </c>
    </row>
    <row r="16">
      <c r="A16" s="2" t="n">
        <v>15</v>
      </c>
      <c r="B16" s="2" t="inlineStr">
        <is>
          <t>Olivia Carvalho</t>
        </is>
      </c>
      <c r="C16" s="2" t="inlineStr">
        <is>
          <t>DS-2A</t>
        </is>
      </c>
      <c r="D16" s="3" t="n">
        <v>7</v>
      </c>
      <c r="E16" s="3" t="n">
        <v>6.5</v>
      </c>
      <c r="F16" s="3" t="n">
        <v>7.5</v>
      </c>
      <c r="G16" s="3" t="n">
        <v>7.2</v>
      </c>
      <c r="H16" s="3" t="n">
        <v>7</v>
      </c>
      <c r="I16" s="4">
        <f>SUM(D16:H16)</f>
        <v/>
      </c>
      <c r="J16" s="4">
        <f>AVERAGE(D16:H16)</f>
        <v/>
      </c>
      <c r="K16" s="4">
        <f>PRODUCT(D16,E16)</f>
        <v/>
      </c>
      <c r="L16" s="4">
        <f>MAX(D16:H16)</f>
        <v/>
      </c>
      <c r="M16" s="4">
        <f>MIN(D16:H16)</f>
        <v/>
      </c>
      <c r="N16" s="5">
        <f>IF(J16&gt;=7,"Aprovado",IF(J16&gt;=5,"Recuperação","Reprovado"))</f>
        <v/>
      </c>
      <c r="O16" s="5">
        <f>IFS(J16&gt;=9,"Excelente",J16&gt;=7,"Aprovado",J16&gt;=5,"Recuperação",J16&lt;5,"Reprovado")</f>
        <v/>
      </c>
    </row>
    <row r="17">
      <c r="A17" s="2" t="n">
        <v>16</v>
      </c>
      <c r="B17" s="2" t="inlineStr">
        <is>
          <t>Pedro Augusto</t>
        </is>
      </c>
      <c r="C17" s="2" t="inlineStr">
        <is>
          <t>DS-2B</t>
        </is>
      </c>
      <c r="D17" s="3" t="n">
        <v>8.5</v>
      </c>
      <c r="E17" s="3" t="n">
        <v>8</v>
      </c>
      <c r="F17" s="3" t="n">
        <v>9</v>
      </c>
      <c r="G17" s="3" t="n">
        <v>9.199999999999999</v>
      </c>
      <c r="H17" s="3" t="n">
        <v>8.5</v>
      </c>
      <c r="I17" s="4">
        <f>SUM(D17:H17)</f>
        <v/>
      </c>
      <c r="J17" s="4">
        <f>AVERAGE(D17:H17)</f>
        <v/>
      </c>
      <c r="K17" s="4">
        <f>PRODUCT(D17,E17)</f>
        <v/>
      </c>
      <c r="L17" s="4">
        <f>MAX(D17:H17)</f>
        <v/>
      </c>
      <c r="M17" s="4">
        <f>MIN(D17:H17)</f>
        <v/>
      </c>
      <c r="N17" s="5">
        <f>IF(J17&gt;=7,"Aprovado",IF(J17&gt;=5,"Recuperação","Reprovado"))</f>
        <v/>
      </c>
      <c r="O17" s="5">
        <f>IFS(J17&gt;=9,"Excelente",J17&gt;=7,"Aprovado",J17&gt;=5,"Recuperação",J17&lt;5,"Reprovado")</f>
        <v/>
      </c>
    </row>
    <row r="18">
      <c r="A18" s="2" t="n">
        <v>17</v>
      </c>
      <c r="B18" s="2" t="inlineStr">
        <is>
          <t>Quezia Nunes</t>
        </is>
      </c>
      <c r="C18" s="2" t="inlineStr">
        <is>
          <t>DS-1A</t>
        </is>
      </c>
      <c r="D18" s="3" t="n">
        <v>5.5</v>
      </c>
      <c r="E18" s="3" t="n">
        <v>5</v>
      </c>
      <c r="F18" s="3" t="n">
        <v>4.5</v>
      </c>
      <c r="G18" s="3" t="n">
        <v>5</v>
      </c>
      <c r="H18" s="3" t="n">
        <v>4.8</v>
      </c>
      <c r="I18" s="4">
        <f>SUM(D18:H18)</f>
        <v/>
      </c>
      <c r="J18" s="4">
        <f>AVERAGE(D18:H18)</f>
        <v/>
      </c>
      <c r="K18" s="4">
        <f>PRODUCT(D18,E18)</f>
        <v/>
      </c>
      <c r="L18" s="4">
        <f>MAX(D18:H18)</f>
        <v/>
      </c>
      <c r="M18" s="4">
        <f>MIN(D18:H18)</f>
        <v/>
      </c>
      <c r="N18" s="5">
        <f>IF(J18&gt;=7,"Aprovado",IF(J18&gt;=5,"Recuperação","Reprovado"))</f>
        <v/>
      </c>
      <c r="O18" s="5">
        <f>IFS(J18&gt;=9,"Excelente",J18&gt;=7,"Aprovado",J18&gt;=5,"Recuperação",J18&lt;5,"Reprovado")</f>
        <v/>
      </c>
    </row>
    <row r="19">
      <c r="A19" s="2" t="n">
        <v>18</v>
      </c>
      <c r="B19" s="2" t="inlineStr">
        <is>
          <t>Rafael Mendes</t>
        </is>
      </c>
      <c r="C19" s="2" t="inlineStr">
        <is>
          <t>DS-1B</t>
        </is>
      </c>
      <c r="D19" s="3" t="n">
        <v>6</v>
      </c>
      <c r="E19" s="3" t="n">
        <v>7.5</v>
      </c>
      <c r="F19" s="3" t="n">
        <v>6.5</v>
      </c>
      <c r="G19" s="3" t="n">
        <v>6.2</v>
      </c>
      <c r="H19" s="3" t="n">
        <v>7</v>
      </c>
      <c r="I19" s="4">
        <f>SUM(D19:H19)</f>
        <v/>
      </c>
      <c r="J19" s="4">
        <f>AVERAGE(D19:H19)</f>
        <v/>
      </c>
      <c r="K19" s="4">
        <f>PRODUCT(D19,E19)</f>
        <v/>
      </c>
      <c r="L19" s="4">
        <f>MAX(D19:H19)</f>
        <v/>
      </c>
      <c r="M19" s="4">
        <f>MIN(D19:H19)</f>
        <v/>
      </c>
      <c r="N19" s="5">
        <f>IF(J19&gt;=7,"Aprovado",IF(J19&gt;=5,"Recuperação","Reprovado"))</f>
        <v/>
      </c>
      <c r="O19" s="5">
        <f>IFS(J19&gt;=9,"Excelente",J19&gt;=7,"Aprovado",J19&gt;=5,"Recuperação",J19&lt;5,"Reprovado")</f>
        <v/>
      </c>
    </row>
    <row r="20">
      <c r="A20" s="2" t="n">
        <v>19</v>
      </c>
      <c r="B20" s="2" t="inlineStr">
        <is>
          <t>Sofia Barros</t>
        </is>
      </c>
      <c r="C20" s="2" t="inlineStr">
        <is>
          <t>DS-2A</t>
        </is>
      </c>
      <c r="D20" s="3" t="n">
        <v>9</v>
      </c>
      <c r="E20" s="3" t="n">
        <v>9.5</v>
      </c>
      <c r="F20" s="3" t="n">
        <v>10</v>
      </c>
      <c r="G20" s="3" t="n">
        <v>10</v>
      </c>
      <c r="H20" s="3" t="n">
        <v>9.800000000000001</v>
      </c>
      <c r="I20" s="4">
        <f>SUM(D20:H20)</f>
        <v/>
      </c>
      <c r="J20" s="4">
        <f>AVERAGE(D20:H20)</f>
        <v/>
      </c>
      <c r="K20" s="4">
        <f>PRODUCT(D20,E20)</f>
        <v/>
      </c>
      <c r="L20" s="4">
        <f>MAX(D20:H20)</f>
        <v/>
      </c>
      <c r="M20" s="4">
        <f>MIN(D20:H20)</f>
        <v/>
      </c>
      <c r="N20" s="5">
        <f>IF(J20&gt;=7,"Aprovado",IF(J20&gt;=5,"Recuperação","Reprovado"))</f>
        <v/>
      </c>
      <c r="O20" s="5">
        <f>IFS(J20&gt;=9,"Excelente",J20&gt;=7,"Aprovado",J20&gt;=5,"Recuperação",J20&lt;5,"Reprovado")</f>
        <v/>
      </c>
    </row>
    <row r="21">
      <c r="A21" s="2" t="n">
        <v>20</v>
      </c>
      <c r="B21" s="2" t="inlineStr">
        <is>
          <t>Thiago Almeida</t>
        </is>
      </c>
      <c r="C21" s="2" t="inlineStr">
        <is>
          <t>DS-2B</t>
        </is>
      </c>
      <c r="D21" s="3" t="n">
        <v>3</v>
      </c>
      <c r="E21" s="3" t="n">
        <v>4.5</v>
      </c>
      <c r="F21" s="3" t="n">
        <v>5</v>
      </c>
      <c r="G21" s="3" t="n">
        <v>4</v>
      </c>
      <c r="H21" s="3" t="n">
        <v>4.8</v>
      </c>
      <c r="I21" s="4">
        <f>SUM(D21:H21)</f>
        <v/>
      </c>
      <c r="J21" s="4">
        <f>AVERAGE(D21:H21)</f>
        <v/>
      </c>
      <c r="K21" s="4">
        <f>PRODUCT(D21,E21)</f>
        <v/>
      </c>
      <c r="L21" s="4">
        <f>MAX(D21:H21)</f>
        <v/>
      </c>
      <c r="M21" s="4">
        <f>MIN(D21:H21)</f>
        <v/>
      </c>
      <c r="N21" s="5">
        <f>IF(J21&gt;=7,"Aprovado",IF(J21&gt;=5,"Recuperação","Reprovado"))</f>
        <v/>
      </c>
      <c r="O21" s="5">
        <f>IFS(J21&gt;=9,"Excelente",J21&gt;=7,"Aprovado",J21&gt;=5,"Recuperação",J21&lt;5,"Reprovado")</f>
        <v/>
      </c>
    </row>
    <row r="22">
      <c r="A22" s="2" t="n">
        <v>21</v>
      </c>
      <c r="B22" s="2" t="inlineStr">
        <is>
          <t>Ursula Dias</t>
        </is>
      </c>
      <c r="C22" s="2" t="inlineStr">
        <is>
          <t>DS-1A</t>
        </is>
      </c>
      <c r="D22" s="3" t="n">
        <v>7.5</v>
      </c>
      <c r="E22" s="3" t="n">
        <v>7</v>
      </c>
      <c r="F22" s="3" t="n">
        <v>6.5</v>
      </c>
      <c r="G22" s="3" t="n">
        <v>6.5</v>
      </c>
      <c r="H22" s="3" t="n">
        <v>6.8</v>
      </c>
      <c r="I22" s="4">
        <f>SUM(D22:H22)</f>
        <v/>
      </c>
      <c r="J22" s="4">
        <f>AVERAGE(D22:H22)</f>
        <v/>
      </c>
      <c r="K22" s="4">
        <f>PRODUCT(D22,E22)</f>
        <v/>
      </c>
      <c r="L22" s="4">
        <f>MAX(D22:H22)</f>
        <v/>
      </c>
      <c r="M22" s="4">
        <f>MIN(D22:H22)</f>
        <v/>
      </c>
      <c r="N22" s="5">
        <f>IF(J22&gt;=7,"Aprovado",IF(J22&gt;=5,"Recuperação","Reprovado"))</f>
        <v/>
      </c>
      <c r="O22" s="5">
        <f>IFS(J22&gt;=9,"Excelente",J22&gt;=7,"Aprovado",J22&gt;=5,"Recuperação",J22&lt;5,"Reprovado")</f>
        <v/>
      </c>
    </row>
    <row r="23">
      <c r="A23" s="2" t="n">
        <v>22</v>
      </c>
      <c r="B23" s="2" t="inlineStr">
        <is>
          <t>Vinicius Cardoso</t>
        </is>
      </c>
      <c r="C23" s="2" t="inlineStr">
        <is>
          <t>DS-1B</t>
        </is>
      </c>
      <c r="D23" s="3" t="n">
        <v>6.5</v>
      </c>
      <c r="E23" s="3" t="n">
        <v>6</v>
      </c>
      <c r="F23" s="3" t="n">
        <v>7</v>
      </c>
      <c r="G23" s="3" t="n">
        <v>7.2</v>
      </c>
      <c r="H23" s="3" t="n">
        <v>6.5</v>
      </c>
      <c r="I23" s="4">
        <f>SUM(D23:H23)</f>
        <v/>
      </c>
      <c r="J23" s="4">
        <f>AVERAGE(D23:H23)</f>
        <v/>
      </c>
      <c r="K23" s="4">
        <f>PRODUCT(D23,E23)</f>
        <v/>
      </c>
      <c r="L23" s="4">
        <f>MAX(D23:H23)</f>
        <v/>
      </c>
      <c r="M23" s="4">
        <f>MIN(D23:H23)</f>
        <v/>
      </c>
      <c r="N23" s="5">
        <f>IF(J23&gt;=7,"Aprovado",IF(J23&gt;=5,"Recuperação","Reprovado"))</f>
        <v/>
      </c>
      <c r="O23" s="5">
        <f>IFS(J23&gt;=9,"Excelente",J23&gt;=7,"Aprovado",J23&gt;=5,"Recuperação",J23&lt;5,"Reprovado")</f>
        <v/>
      </c>
    </row>
    <row r="24">
      <c r="A24" s="2" t="n">
        <v>23</v>
      </c>
      <c r="B24" s="2" t="inlineStr">
        <is>
          <t>Wesley Moraes</t>
        </is>
      </c>
      <c r="C24" s="2" t="inlineStr">
        <is>
          <t>DS-2A</t>
        </is>
      </c>
      <c r="D24" s="3" t="n">
        <v>8</v>
      </c>
      <c r="E24" s="3" t="n">
        <v>7.5</v>
      </c>
      <c r="F24" s="3" t="n">
        <v>8.5</v>
      </c>
      <c r="G24" s="3" t="n">
        <v>8.199999999999999</v>
      </c>
      <c r="H24" s="3" t="n">
        <v>8</v>
      </c>
      <c r="I24" s="4">
        <f>SUM(D24:H24)</f>
        <v/>
      </c>
      <c r="J24" s="4">
        <f>AVERAGE(D24:H24)</f>
        <v/>
      </c>
      <c r="K24" s="4">
        <f>PRODUCT(D24,E24)</f>
        <v/>
      </c>
      <c r="L24" s="4">
        <f>MAX(D24:H24)</f>
        <v/>
      </c>
      <c r="M24" s="4">
        <f>MIN(D24:H24)</f>
        <v/>
      </c>
      <c r="N24" s="5">
        <f>IF(J24&gt;=7,"Aprovado",IF(J24&gt;=5,"Recuperação","Reprovado"))</f>
        <v/>
      </c>
      <c r="O24" s="5">
        <f>IFS(J24&gt;=9,"Excelente",J24&gt;=7,"Aprovado",J24&gt;=5,"Recuperação",J24&lt;5,"Reprovado")</f>
        <v/>
      </c>
    </row>
    <row r="25">
      <c r="A25" s="2" t="n">
        <v>24</v>
      </c>
      <c r="B25" s="2" t="inlineStr">
        <is>
          <t>Yasmin Teixeira</t>
        </is>
      </c>
      <c r="C25" s="2" t="inlineStr">
        <is>
          <t>DS-2B</t>
        </is>
      </c>
      <c r="D25" s="3" t="n">
        <v>9.5</v>
      </c>
      <c r="E25" s="3" t="n">
        <v>8.5</v>
      </c>
      <c r="F25" s="3" t="n">
        <v>9</v>
      </c>
      <c r="G25" s="3" t="n">
        <v>9.199999999999999</v>
      </c>
      <c r="H25" s="3" t="n">
        <v>8.800000000000001</v>
      </c>
      <c r="I25" s="4">
        <f>SUM(D25:H25)</f>
        <v/>
      </c>
      <c r="J25" s="4">
        <f>AVERAGE(D25:H25)</f>
        <v/>
      </c>
      <c r="K25" s="4">
        <f>PRODUCT(D25,E25)</f>
        <v/>
      </c>
      <c r="L25" s="4">
        <f>MAX(D25:H25)</f>
        <v/>
      </c>
      <c r="M25" s="4">
        <f>MIN(D25:H25)</f>
        <v/>
      </c>
      <c r="N25" s="5">
        <f>IF(J25&gt;=7,"Aprovado",IF(J25&gt;=5,"Recuperação","Reprovado"))</f>
        <v/>
      </c>
      <c r="O25" s="5">
        <f>IFS(J25&gt;=9,"Excelente",J25&gt;=7,"Aprovado",J25&gt;=5,"Recuperação",J25&lt;5,"Reprovado")</f>
        <v/>
      </c>
    </row>
    <row r="26">
      <c r="A26" s="2" t="n">
        <v>25</v>
      </c>
      <c r="B26" s="2" t="inlineStr">
        <is>
          <t>Arthur Lopes</t>
        </is>
      </c>
      <c r="C26" s="2" t="inlineStr">
        <is>
          <t>DS-1A</t>
        </is>
      </c>
      <c r="D26" s="3" t="n">
        <v>4</v>
      </c>
      <c r="E26" s="3" t="n">
        <v>6</v>
      </c>
      <c r="F26" s="3" t="n">
        <v>5.5</v>
      </c>
      <c r="G26" s="3" t="n">
        <v>5.2</v>
      </c>
      <c r="H26" s="3" t="n">
        <v>5.8</v>
      </c>
      <c r="I26" s="4">
        <f>SUM(D26:H26)</f>
        <v/>
      </c>
      <c r="J26" s="4">
        <f>AVERAGE(D26:H26)</f>
        <v/>
      </c>
      <c r="K26" s="4">
        <f>PRODUCT(D26,E26)</f>
        <v/>
      </c>
      <c r="L26" s="4">
        <f>MAX(D26:H26)</f>
        <v/>
      </c>
      <c r="M26" s="4">
        <f>MIN(D26:H26)</f>
        <v/>
      </c>
      <c r="N26" s="5">
        <f>IF(J26&gt;=7,"Aprovado",IF(J26&gt;=5,"Recuperação","Reprovado"))</f>
        <v/>
      </c>
      <c r="O26" s="5">
        <f>IFS(J26&gt;=9,"Excelente",J26&gt;=7,"Aprovado",J26&gt;=5,"Recuperação",J26&lt;5,"Reprovado")</f>
        <v/>
      </c>
    </row>
    <row r="27">
      <c r="A27" s="2" t="n">
        <v>26</v>
      </c>
      <c r="B27" s="2" t="inlineStr">
        <is>
          <t>Beatriz Freitas</t>
        </is>
      </c>
      <c r="C27" s="2" t="inlineStr">
        <is>
          <t>DS-1B</t>
        </is>
      </c>
      <c r="D27" s="3" t="n">
        <v>7</v>
      </c>
      <c r="E27" s="3" t="n">
        <v>8</v>
      </c>
      <c r="F27" s="3" t="n">
        <v>7.5</v>
      </c>
      <c r="G27" s="3" t="n">
        <v>6.8</v>
      </c>
      <c r="H27" s="3" t="n">
        <v>7.8</v>
      </c>
      <c r="I27" s="4">
        <f>SUM(D27:H27)</f>
        <v/>
      </c>
      <c r="J27" s="4">
        <f>AVERAGE(D27:H27)</f>
        <v/>
      </c>
      <c r="K27" s="4">
        <f>PRODUCT(D27,E27)</f>
        <v/>
      </c>
      <c r="L27" s="4">
        <f>MAX(D27:H27)</f>
        <v/>
      </c>
      <c r="M27" s="4">
        <f>MIN(D27:H27)</f>
        <v/>
      </c>
      <c r="N27" s="5">
        <f>IF(J27&gt;=7,"Aprovado",IF(J27&gt;=5,"Recuperação","Reprovado"))</f>
        <v/>
      </c>
      <c r="O27" s="5">
        <f>IFS(J27&gt;=9,"Excelente",J27&gt;=7,"Aprovado",J27&gt;=5,"Recuperação",J27&lt;5,"Reprovado")</f>
        <v/>
      </c>
    </row>
    <row r="28">
      <c r="A28" s="2" t="n">
        <v>27</v>
      </c>
      <c r="B28" s="2" t="inlineStr">
        <is>
          <t>Caio Batista</t>
        </is>
      </c>
      <c r="C28" s="2" t="inlineStr">
        <is>
          <t>DS-2A</t>
        </is>
      </c>
      <c r="D28" s="3" t="n">
        <v>5</v>
      </c>
      <c r="E28" s="3" t="n">
        <v>4.5</v>
      </c>
      <c r="F28" s="3" t="n">
        <v>6</v>
      </c>
      <c r="G28" s="3" t="n">
        <v>5.5</v>
      </c>
      <c r="H28" s="3" t="n">
        <v>5.2</v>
      </c>
      <c r="I28" s="4">
        <f>SUM(D28:H28)</f>
        <v/>
      </c>
      <c r="J28" s="4">
        <f>AVERAGE(D28:H28)</f>
        <v/>
      </c>
      <c r="K28" s="4">
        <f>PRODUCT(D28,E28)</f>
        <v/>
      </c>
      <c r="L28" s="4">
        <f>MAX(D28:H28)</f>
        <v/>
      </c>
      <c r="M28" s="4">
        <f>MIN(D28:H28)</f>
        <v/>
      </c>
      <c r="N28" s="5">
        <f>IF(J28&gt;=7,"Aprovado",IF(J28&gt;=5,"Recuperação","Reprovado"))</f>
        <v/>
      </c>
      <c r="O28" s="5">
        <f>IFS(J28&gt;=9,"Excelente",J28&gt;=7,"Aprovado",J28&gt;=5,"Recuperação",J28&lt;5,"Reprovado")</f>
        <v/>
      </c>
    </row>
    <row r="29">
      <c r="A29" s="2" t="n">
        <v>28</v>
      </c>
      <c r="B29" s="2" t="inlineStr">
        <is>
          <t>Davi Moreira</t>
        </is>
      </c>
      <c r="C29" s="2" t="inlineStr">
        <is>
          <t>DS-2B</t>
        </is>
      </c>
      <c r="D29" s="3" t="n">
        <v>8.5</v>
      </c>
      <c r="E29" s="3" t="n">
        <v>9</v>
      </c>
      <c r="F29" s="3" t="n">
        <v>8</v>
      </c>
      <c r="G29" s="3" t="n">
        <v>8.800000000000001</v>
      </c>
      <c r="H29" s="3" t="n">
        <v>8.5</v>
      </c>
      <c r="I29" s="4">
        <f>SUM(D29:H29)</f>
        <v/>
      </c>
      <c r="J29" s="4">
        <f>AVERAGE(D29:H29)</f>
        <v/>
      </c>
      <c r="K29" s="4">
        <f>PRODUCT(D29,E29)</f>
        <v/>
      </c>
      <c r="L29" s="4">
        <f>MAX(D29:H29)</f>
        <v/>
      </c>
      <c r="M29" s="4">
        <f>MIN(D29:H29)</f>
        <v/>
      </c>
      <c r="N29" s="5">
        <f>IF(J29&gt;=7,"Aprovado",IF(J29&gt;=5,"Recuperação","Reprovado"))</f>
        <v/>
      </c>
      <c r="O29" s="5">
        <f>IFS(J29&gt;=9,"Excelente",J29&gt;=7,"Aprovado",J29&gt;=5,"Recuperação",J29&lt;5,"Reprovado")</f>
        <v/>
      </c>
    </row>
    <row r="30">
      <c r="A30" s="2" t="n">
        <v>29</v>
      </c>
      <c r="B30" s="2" t="inlineStr">
        <is>
          <t>Eloá Pires</t>
        </is>
      </c>
      <c r="C30" s="2" t="inlineStr">
        <is>
          <t>DS-1A</t>
        </is>
      </c>
      <c r="D30" s="3" t="n">
        <v>6</v>
      </c>
      <c r="E30" s="3" t="n">
        <v>5.5</v>
      </c>
      <c r="F30" s="3" t="n">
        <v>5</v>
      </c>
      <c r="G30" s="3" t="n">
        <v>5.5</v>
      </c>
      <c r="H30" s="3" t="n">
        <v>5.2</v>
      </c>
      <c r="I30" s="4">
        <f>SUM(D30:H30)</f>
        <v/>
      </c>
      <c r="J30" s="4">
        <f>AVERAGE(D30:H30)</f>
        <v/>
      </c>
      <c r="K30" s="4">
        <f>PRODUCT(D30,E30)</f>
        <v/>
      </c>
      <c r="L30" s="4">
        <f>MAX(D30:H30)</f>
        <v/>
      </c>
      <c r="M30" s="4">
        <f>MIN(D30:H30)</f>
        <v/>
      </c>
      <c r="N30" s="5">
        <f>IF(J30&gt;=7,"Aprovado",IF(J30&gt;=5,"Recuperação","Reprovado"))</f>
        <v/>
      </c>
      <c r="O30" s="5">
        <f>IFS(J30&gt;=9,"Excelente",J30&gt;=7,"Aprovado",J30&gt;=5,"Recuperação",J30&lt;5,"Reprovado")</f>
        <v/>
      </c>
    </row>
    <row r="31">
      <c r="A31" s="2" t="n">
        <v>30</v>
      </c>
      <c r="B31" s="2" t="inlineStr">
        <is>
          <t>Gustavo Correia</t>
        </is>
      </c>
      <c r="C31" s="2" t="inlineStr">
        <is>
          <t>DS-1B</t>
        </is>
      </c>
      <c r="D31" s="3" t="n">
        <v>9</v>
      </c>
      <c r="E31" s="3" t="n">
        <v>8.5</v>
      </c>
      <c r="F31" s="3" t="n">
        <v>9.5</v>
      </c>
      <c r="G31" s="3" t="n">
        <v>9.199999999999999</v>
      </c>
      <c r="H31" s="3" t="n">
        <v>9</v>
      </c>
      <c r="I31" s="4">
        <f>SUM(D31:H31)</f>
        <v/>
      </c>
      <c r="J31" s="4">
        <f>AVERAGE(D31:H31)</f>
        <v/>
      </c>
      <c r="K31" s="4">
        <f>PRODUCT(D31,E31)</f>
        <v/>
      </c>
      <c r="L31" s="4">
        <f>MAX(D31:H31)</f>
        <v/>
      </c>
      <c r="M31" s="4">
        <f>MIN(D31:H31)</f>
        <v/>
      </c>
      <c r="N31" s="5">
        <f>IF(J31&gt;=7,"Aprovado",IF(J31&gt;=5,"Recuperação","Reprovado"))</f>
        <v/>
      </c>
      <c r="O31" s="5">
        <f>IFS(J31&gt;=9,"Excelente",J31&gt;=7,"Aprovado",J31&gt;=5,"Recuperação",J31&lt;5,"Reprovado")</f>
        <v/>
      </c>
    </row>
    <row r="32">
      <c r="A32" s="2" t="n">
        <v>31</v>
      </c>
      <c r="B32" s="2" t="inlineStr">
        <is>
          <t>Helena Monteiro</t>
        </is>
      </c>
      <c r="C32" s="2" t="inlineStr">
        <is>
          <t>DS-2A</t>
        </is>
      </c>
      <c r="D32" s="3" t="n">
        <v>7.5</v>
      </c>
      <c r="E32" s="3" t="n">
        <v>8</v>
      </c>
      <c r="F32" s="3" t="n">
        <v>7</v>
      </c>
      <c r="G32" s="3" t="n">
        <v>7.8</v>
      </c>
      <c r="H32" s="3" t="n">
        <v>7.5</v>
      </c>
      <c r="I32" s="4">
        <f>SUM(D32:H32)</f>
        <v/>
      </c>
      <c r="J32" s="4">
        <f>AVERAGE(D32:H32)</f>
        <v/>
      </c>
      <c r="K32" s="4">
        <f>PRODUCT(D32,E32)</f>
        <v/>
      </c>
      <c r="L32" s="4">
        <f>MAX(D32:H32)</f>
        <v/>
      </c>
      <c r="M32" s="4">
        <f>MIN(D32:H32)</f>
        <v/>
      </c>
      <c r="N32" s="5">
        <f>IF(J32&gt;=7,"Aprovado",IF(J32&gt;=5,"Recuperação","Reprovado"))</f>
        <v/>
      </c>
      <c r="O32" s="5">
        <f>IFS(J32&gt;=9,"Excelente",J32&gt;=7,"Aprovado",J32&gt;=5,"Recuperação",J32&lt;5,"Reprovado")</f>
        <v/>
      </c>
    </row>
    <row r="33">
      <c r="A33" s="2" t="n">
        <v>32</v>
      </c>
      <c r="B33" s="2" t="inlineStr">
        <is>
          <t>Igor Campos</t>
        </is>
      </c>
      <c r="C33" s="2" t="inlineStr">
        <is>
          <t>DS-2B</t>
        </is>
      </c>
      <c r="D33" s="3" t="n">
        <v>4.5</v>
      </c>
      <c r="E33" s="3" t="n">
        <v>5</v>
      </c>
      <c r="F33" s="3" t="n">
        <v>3.5</v>
      </c>
      <c r="G33" s="3" t="n">
        <v>4</v>
      </c>
      <c r="H33" s="3" t="n">
        <v>4.2</v>
      </c>
      <c r="I33" s="4">
        <f>SUM(D33:H33)</f>
        <v/>
      </c>
      <c r="J33" s="4">
        <f>AVERAGE(D33:H33)</f>
        <v/>
      </c>
      <c r="K33" s="4">
        <f>PRODUCT(D33,E33)</f>
        <v/>
      </c>
      <c r="L33" s="4">
        <f>MAX(D33:H33)</f>
        <v/>
      </c>
      <c r="M33" s="4">
        <f>MIN(D33:H33)</f>
        <v/>
      </c>
      <c r="N33" s="5">
        <f>IF(J33&gt;=7,"Aprovado",IF(J33&gt;=5,"Recuperação","Reprovado"))</f>
        <v/>
      </c>
      <c r="O33" s="5">
        <f>IFS(J33&gt;=9,"Excelente",J33&gt;=7,"Aprovado",J33&gt;=5,"Recuperação",J33&lt;5,"Reprovado")</f>
        <v/>
      </c>
    </row>
    <row r="34">
      <c r="A34" s="2" t="n">
        <v>33</v>
      </c>
      <c r="B34" s="2" t="inlineStr">
        <is>
          <t>Julia Castro</t>
        </is>
      </c>
      <c r="C34" s="2" t="inlineStr">
        <is>
          <t>DS-1A</t>
        </is>
      </c>
      <c r="D34" s="3" t="n">
        <v>8</v>
      </c>
      <c r="E34" s="3" t="n">
        <v>9</v>
      </c>
      <c r="F34" s="3" t="n">
        <v>8.5</v>
      </c>
      <c r="G34" s="3" t="n">
        <v>8.199999999999999</v>
      </c>
      <c r="H34" s="3" t="n">
        <v>8.800000000000001</v>
      </c>
      <c r="I34" s="4">
        <f>SUM(D34:H34)</f>
        <v/>
      </c>
      <c r="J34" s="4">
        <f>AVERAGE(D34:H34)</f>
        <v/>
      </c>
      <c r="K34" s="4">
        <f>PRODUCT(D34,E34)</f>
        <v/>
      </c>
      <c r="L34" s="4">
        <f>MAX(D34:H34)</f>
        <v/>
      </c>
      <c r="M34" s="4">
        <f>MIN(D34:H34)</f>
        <v/>
      </c>
      <c r="N34" s="5">
        <f>IF(J34&gt;=7,"Aprovado",IF(J34&gt;=5,"Recuperação","Reprovado"))</f>
        <v/>
      </c>
      <c r="O34" s="5">
        <f>IFS(J34&gt;=9,"Excelente",J34&gt;=7,"Aprovado",J34&gt;=5,"Recuperação",J34&lt;5,"Reprovado")</f>
        <v/>
      </c>
    </row>
    <row r="35">
      <c r="A35" s="2" t="n">
        <v>34</v>
      </c>
      <c r="B35" s="2" t="inlineStr">
        <is>
          <t>Kevin Araújo</t>
        </is>
      </c>
      <c r="C35" s="2" t="inlineStr">
        <is>
          <t>DS-1B</t>
        </is>
      </c>
      <c r="D35" s="3" t="n">
        <v>6.5</v>
      </c>
      <c r="E35" s="3" t="n">
        <v>7</v>
      </c>
      <c r="F35" s="3" t="n">
        <v>7.5</v>
      </c>
      <c r="G35" s="3" t="n">
        <v>7.5</v>
      </c>
      <c r="H35" s="3" t="n">
        <v>7.2</v>
      </c>
      <c r="I35" s="4">
        <f>SUM(D35:H35)</f>
        <v/>
      </c>
      <c r="J35" s="4">
        <f>AVERAGE(D35:H35)</f>
        <v/>
      </c>
      <c r="K35" s="4">
        <f>PRODUCT(D35,E35)</f>
        <v/>
      </c>
      <c r="L35" s="4">
        <f>MAX(D35:H35)</f>
        <v/>
      </c>
      <c r="M35" s="4">
        <f>MIN(D35:H35)</f>
        <v/>
      </c>
      <c r="N35" s="5">
        <f>IF(J35&gt;=7,"Aprovado",IF(J35&gt;=5,"Recuperação","Reprovado"))</f>
        <v/>
      </c>
      <c r="O35" s="5">
        <f>IFS(J35&gt;=9,"Excelente",J35&gt;=7,"Aprovado",J35&gt;=5,"Recuperação",J35&lt;5,"Reprovado")</f>
        <v/>
      </c>
    </row>
    <row r="36">
      <c r="A36" s="2" t="n">
        <v>35</v>
      </c>
      <c r="B36" s="2" t="inlineStr">
        <is>
          <t>Larissa Farias</t>
        </is>
      </c>
      <c r="C36" s="2" t="inlineStr">
        <is>
          <t>DS-2A</t>
        </is>
      </c>
      <c r="D36" s="3" t="n">
        <v>5.5</v>
      </c>
      <c r="E36" s="3" t="n">
        <v>6</v>
      </c>
      <c r="F36" s="3" t="n">
        <v>5</v>
      </c>
      <c r="G36" s="3" t="n">
        <v>5.2</v>
      </c>
      <c r="H36" s="3" t="n">
        <v>5.5</v>
      </c>
      <c r="I36" s="4">
        <f>SUM(D36:H36)</f>
        <v/>
      </c>
      <c r="J36" s="4">
        <f>AVERAGE(D36:H36)</f>
        <v/>
      </c>
      <c r="K36" s="4">
        <f>PRODUCT(D36,E36)</f>
        <v/>
      </c>
      <c r="L36" s="4">
        <f>MAX(D36:H36)</f>
        <v/>
      </c>
      <c r="M36" s="4">
        <f>MIN(D36:H36)</f>
        <v/>
      </c>
      <c r="N36" s="5">
        <f>IF(J36&gt;=7,"Aprovado",IF(J36&gt;=5,"Recuperação","Reprovado"))</f>
        <v/>
      </c>
      <c r="O36" s="5">
        <f>IFS(J36&gt;=9,"Excelente",J36&gt;=7,"Aprovado",J36&gt;=5,"Recuperação",J36&lt;5,"Reprovado")</f>
        <v/>
      </c>
    </row>
    <row r="37">
      <c r="A37" s="2" t="n">
        <v>36</v>
      </c>
      <c r="B37" s="2" t="inlineStr">
        <is>
          <t>Matheus Vieira</t>
        </is>
      </c>
      <c r="C37" s="2" t="inlineStr">
        <is>
          <t>DS-2B</t>
        </is>
      </c>
      <c r="D37" s="3" t="n">
        <v>10</v>
      </c>
      <c r="E37" s="3" t="n">
        <v>9.5</v>
      </c>
      <c r="F37" s="3" t="n">
        <v>9</v>
      </c>
      <c r="G37" s="3" t="n">
        <v>9</v>
      </c>
      <c r="H37" s="3" t="n">
        <v>9.199999999999999</v>
      </c>
      <c r="I37" s="4">
        <f>SUM(D37:H37)</f>
        <v/>
      </c>
      <c r="J37" s="4">
        <f>AVERAGE(D37:H37)</f>
        <v/>
      </c>
      <c r="K37" s="4">
        <f>PRODUCT(D37,E37)</f>
        <v/>
      </c>
      <c r="L37" s="4">
        <f>MAX(D37:H37)</f>
        <v/>
      </c>
      <c r="M37" s="4">
        <f>MIN(D37:H37)</f>
        <v/>
      </c>
      <c r="N37" s="5">
        <f>IF(J37&gt;=7,"Aprovado",IF(J37&gt;=5,"Recuperação","Reprovado"))</f>
        <v/>
      </c>
      <c r="O37" s="5">
        <f>IFS(J37&gt;=9,"Excelente",J37&gt;=7,"Aprovado",J37&gt;=5,"Recuperação",J37&lt;5,"Reprovado")</f>
        <v/>
      </c>
    </row>
    <row r="38">
      <c r="A38" s="2" t="n">
        <v>37</v>
      </c>
      <c r="B38" s="2" t="inlineStr">
        <is>
          <t>Nicole Ramos</t>
        </is>
      </c>
      <c r="C38" s="2" t="inlineStr">
        <is>
          <t>DS-1A</t>
        </is>
      </c>
      <c r="D38" s="3" t="n">
        <v>7</v>
      </c>
      <c r="E38" s="3" t="n">
        <v>6.5</v>
      </c>
      <c r="F38" s="3" t="n">
        <v>8</v>
      </c>
      <c r="G38" s="3" t="n">
        <v>8</v>
      </c>
      <c r="H38" s="3" t="n">
        <v>7.2</v>
      </c>
      <c r="I38" s="4">
        <f>SUM(D38:H38)</f>
        <v/>
      </c>
      <c r="J38" s="4">
        <f>AVERAGE(D38:H38)</f>
        <v/>
      </c>
      <c r="K38" s="4">
        <f>PRODUCT(D38,E38)</f>
        <v/>
      </c>
      <c r="L38" s="4">
        <f>MAX(D38:H38)</f>
        <v/>
      </c>
      <c r="M38" s="4">
        <f>MIN(D38:H38)</f>
        <v/>
      </c>
      <c r="N38" s="5">
        <f>IF(J38&gt;=7,"Aprovado",IF(J38&gt;=5,"Recuperação","Reprovado"))</f>
        <v/>
      </c>
      <c r="O38" s="5">
        <f>IFS(J38&gt;=9,"Excelente",J38&gt;=7,"Aprovado",J38&gt;=5,"Recuperação",J38&lt;5,"Reprovado")</f>
        <v/>
      </c>
    </row>
    <row r="39">
      <c r="A39" s="2" t="n">
        <v>38</v>
      </c>
      <c r="B39" s="2" t="inlineStr">
        <is>
          <t>Otávio Cunha</t>
        </is>
      </c>
      <c r="C39" s="2" t="inlineStr">
        <is>
          <t>DS-1B</t>
        </is>
      </c>
      <c r="D39" s="3" t="n">
        <v>3.5</v>
      </c>
      <c r="E39" s="3" t="n">
        <v>4</v>
      </c>
      <c r="F39" s="3" t="n">
        <v>4.5</v>
      </c>
      <c r="G39" s="3" t="n">
        <v>4</v>
      </c>
      <c r="H39" s="3" t="n">
        <v>4.2</v>
      </c>
      <c r="I39" s="4">
        <f>SUM(D39:H39)</f>
        <v/>
      </c>
      <c r="J39" s="4">
        <f>AVERAGE(D39:H39)</f>
        <v/>
      </c>
      <c r="K39" s="4">
        <f>PRODUCT(D39,E39)</f>
        <v/>
      </c>
      <c r="L39" s="4">
        <f>MAX(D39:H39)</f>
        <v/>
      </c>
      <c r="M39" s="4">
        <f>MIN(D39:H39)</f>
        <v/>
      </c>
      <c r="N39" s="5">
        <f>IF(J39&gt;=7,"Aprovado",IF(J39&gt;=5,"Recuperação","Reprovado"))</f>
        <v/>
      </c>
      <c r="O39" s="5">
        <f>IFS(J39&gt;=9,"Excelente",J39&gt;=7,"Aprovado",J39&gt;=5,"Recuperação",J39&lt;5,"Reprovado")</f>
        <v/>
      </c>
    </row>
    <row r="40">
      <c r="A40" s="2" t="n">
        <v>39</v>
      </c>
      <c r="B40" s="2" t="inlineStr">
        <is>
          <t>Paula Mendes</t>
        </is>
      </c>
      <c r="C40" s="2" t="inlineStr">
        <is>
          <t>DS-2A</t>
        </is>
      </c>
      <c r="D40" s="3" t="n">
        <v>8.5</v>
      </c>
      <c r="E40" s="3" t="n">
        <v>7.5</v>
      </c>
      <c r="F40" s="3" t="n">
        <v>8</v>
      </c>
      <c r="G40" s="3" t="n">
        <v>8.199999999999999</v>
      </c>
      <c r="H40" s="3" t="n">
        <v>7.8</v>
      </c>
      <c r="I40" s="4">
        <f>SUM(D40:H40)</f>
        <v/>
      </c>
      <c r="J40" s="4">
        <f>AVERAGE(D40:H40)</f>
        <v/>
      </c>
      <c r="K40" s="4">
        <f>PRODUCT(D40,E40)</f>
        <v/>
      </c>
      <c r="L40" s="4">
        <f>MAX(D40:H40)</f>
        <v/>
      </c>
      <c r="M40" s="4">
        <f>MIN(D40:H40)</f>
        <v/>
      </c>
      <c r="N40" s="5">
        <f>IF(J40&gt;=7,"Aprovado",IF(J40&gt;=5,"Recuperação","Reprovado"))</f>
        <v/>
      </c>
      <c r="O40" s="5">
        <f>IFS(J40&gt;=9,"Excelente",J40&gt;=7,"Aprovado",J40&gt;=5,"Recuperação",J40&lt;5,"Reprovado")</f>
        <v/>
      </c>
    </row>
    <row r="41">
      <c r="A41" s="2" t="n">
        <v>40</v>
      </c>
      <c r="B41" s="2" t="inlineStr">
        <is>
          <t>Samuel Reis</t>
        </is>
      </c>
      <c r="C41" s="2" t="inlineStr">
        <is>
          <t>DS-2B</t>
        </is>
      </c>
      <c r="D41" s="3" t="n">
        <v>6</v>
      </c>
      <c r="E41" s="3" t="n">
        <v>6.5</v>
      </c>
      <c r="F41" s="3" t="n">
        <v>7</v>
      </c>
      <c r="G41" s="3" t="n">
        <v>7</v>
      </c>
      <c r="H41" s="3" t="n">
        <v>6.8</v>
      </c>
      <c r="I41" s="4">
        <f>SUM(D41:H41)</f>
        <v/>
      </c>
      <c r="J41" s="4">
        <f>AVERAGE(D41:H41)</f>
        <v/>
      </c>
      <c r="K41" s="4">
        <f>PRODUCT(D41,E41)</f>
        <v/>
      </c>
      <c r="L41" s="4">
        <f>MAX(D41:H41)</f>
        <v/>
      </c>
      <c r="M41" s="4">
        <f>MIN(D41:H41)</f>
        <v/>
      </c>
      <c r="N41" s="5">
        <f>IF(J41&gt;=7,"Aprovado",IF(J41&gt;=5,"Recuperação","Reprovado"))</f>
        <v/>
      </c>
      <c r="O41" s="5">
        <f>IFS(J41&gt;=9,"Excelente",J41&gt;=7,"Aprovado",J41&gt;=5,"Recuperação",J41&lt;5,"Reprovado")</f>
        <v/>
      </c>
    </row>
  </sheetData>
  <autoFilter ref="A1:O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62" customWidth="1" min="2" max="2"/>
    <col width="78" customWidth="1" min="3" max="3"/>
  </cols>
  <sheetData>
    <row r="1">
      <c r="A1" s="6" t="inlineStr">
        <is>
          <t>ATIVIDADE PRÁTICA — FUNÇÕES DO EXCEL</t>
        </is>
      </c>
    </row>
    <row r="2" ht="36" customHeight="1">
      <c r="A2" s="7" t="inlineStr">
        <is>
          <t>Esta planilha já está preenchida com dados e fórmulas para demonstração. Você pode editar as notas e observar os resultados.</t>
        </is>
      </c>
    </row>
    <row r="3">
      <c r="A3" s="8" t="inlineStr">
        <is>
          <t>Função</t>
        </is>
      </c>
      <c r="B3" s="8" t="inlineStr">
        <is>
          <t>O que observar</t>
        </is>
      </c>
      <c r="C3" s="8" t="inlineStr">
        <is>
          <t>Exemplo de fórmula (Excel em português)</t>
        </is>
      </c>
    </row>
    <row r="4">
      <c r="A4" s="7" t="inlineStr">
        <is>
          <t>SOMA</t>
        </is>
      </c>
      <c r="B4" s="7" t="inlineStr">
        <is>
          <t>Somar as cinco avaliações de cada aluno</t>
        </is>
      </c>
      <c r="C4" s="7">
        <f>SOMA(D2:H2)</f>
        <v/>
      </c>
    </row>
    <row r="5">
      <c r="A5" s="7" t="inlineStr">
        <is>
          <t>MÉDIA</t>
        </is>
      </c>
      <c r="B5" s="7" t="inlineStr">
        <is>
          <t>Calcular a média das cinco avaliações</t>
        </is>
      </c>
      <c r="C5" s="7">
        <f>MÉDIA(D2:H2)</f>
        <v/>
      </c>
    </row>
    <row r="6">
      <c r="A6" s="7" t="inlineStr">
        <is>
          <t>MULT</t>
        </is>
      </c>
      <c r="B6" s="7" t="inlineStr">
        <is>
          <t>Multiplicar Nota 1 por Nota 2</t>
        </is>
      </c>
      <c r="C6" s="7">
        <f>MULT(D2;E2)</f>
        <v/>
      </c>
    </row>
    <row r="7">
      <c r="A7" s="7" t="inlineStr">
        <is>
          <t>MÁXIMO</t>
        </is>
      </c>
      <c r="B7" s="7" t="inlineStr">
        <is>
          <t>Encontrar a maior nota entre as avaliações</t>
        </is>
      </c>
      <c r="C7" s="7">
        <f>MÁXIMO(D2:H2)</f>
        <v/>
      </c>
    </row>
    <row r="8">
      <c r="A8" s="7" t="inlineStr">
        <is>
          <t>MÍNIMO</t>
        </is>
      </c>
      <c r="B8" s="7" t="inlineStr">
        <is>
          <t>Encontrar a menor nota entre as avaliações</t>
        </is>
      </c>
      <c r="C8" s="7">
        <f>MÍNIMO(D2:H2)</f>
        <v/>
      </c>
    </row>
    <row r="9">
      <c r="A9" s="7" t="inlineStr">
        <is>
          <t>SE</t>
        </is>
      </c>
      <c r="B9" s="7" t="inlineStr">
        <is>
          <t>Aprovado se média &gt;=7; Recuperação se &gt;=5; caso contrário Reprovado</t>
        </is>
      </c>
      <c r="C9" s="7">
        <f>SE(J2&gt;=7;"Aprovado";SE(J2&gt;=5;"Recuperação";"Reprovado"))</f>
        <v/>
      </c>
    </row>
    <row r="10">
      <c r="A10" s="7" t="inlineStr">
        <is>
          <t>SES</t>
        </is>
      </c>
      <c r="B10" s="7" t="inlineStr">
        <is>
          <t>Excelente &gt;=9; Aprovado &gt;=7; Recuperação &gt;=5; abaixo de 5 Reprovado</t>
        </is>
      </c>
      <c r="C10" s="7">
        <f>SES(J2&gt;=9;"Excelente";J2&gt;=7;"Aprovado";J2&gt;=5;"Recuperação";J2&lt;5;"Reprovado")</f>
        <v/>
      </c>
    </row>
    <row r="11">
      <c r="A11" s="7" t="inlineStr">
        <is>
          <t>Desafio 1</t>
        </is>
      </c>
      <c r="B11" s="7" t="inlineStr">
        <is>
          <t>Calcule a média geral da turma</t>
        </is>
      </c>
      <c r="C11" s="7">
        <f>MÉDIA(J2:J41)</f>
        <v/>
      </c>
    </row>
    <row r="12">
      <c r="A12" s="7" t="inlineStr">
        <is>
          <t>Desafio 2</t>
        </is>
      </c>
      <c r="B12" s="7" t="inlineStr">
        <is>
          <t>Encontre a maior média</t>
        </is>
      </c>
      <c r="C12" s="7">
        <f>MÁXIMO(J2:J41)</f>
        <v/>
      </c>
    </row>
    <row r="13">
      <c r="A13" s="7" t="inlineStr">
        <is>
          <t>Desafio 3</t>
        </is>
      </c>
      <c r="B13" s="7" t="inlineStr">
        <is>
          <t>Encontre a menor média</t>
        </is>
      </c>
      <c r="C13" s="7">
        <f>MÍNIMO(J2:J41)</f>
        <v/>
      </c>
    </row>
    <row r="14">
      <c r="A14" s="7" t="inlineStr">
        <is>
          <t>Desafio 4</t>
        </is>
      </c>
      <c r="B14" s="7" t="inlineStr">
        <is>
          <t>Conte quantos alunos foram aprovados</t>
        </is>
      </c>
      <c r="C14" s="7">
        <f>CONT.SE(N2:N41;"Aprovado")</f>
        <v/>
      </c>
    </row>
    <row r="15">
      <c r="A15" s="7" t="inlineStr">
        <is>
          <t>Desafio 5</t>
        </is>
      </c>
      <c r="B15" s="7" t="inlineStr">
        <is>
          <t>Compare as médias das turmas; tente usar MÉDIASE</t>
        </is>
      </c>
      <c r="C15" s="7" t="inlineStr">
        <is>
          <t>Exemplo: =MÉDIASE(C2:C41;"DS-1A";J2:J41)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2" customWidth="1" min="2" max="2"/>
    <col width="45" customWidth="1" min="3" max="3"/>
  </cols>
  <sheetData>
    <row r="1">
      <c r="A1" s="9" t="inlineStr">
        <is>
          <t>Item</t>
        </is>
      </c>
      <c r="B1" s="9" t="inlineStr">
        <is>
          <t>Fórmula na linha 2 (Excel em português)</t>
        </is>
      </c>
      <c r="C1" s="9" t="inlineStr">
        <is>
          <t>Finalidade</t>
        </is>
      </c>
    </row>
    <row r="2">
      <c r="A2" s="7" t="inlineStr">
        <is>
          <t>SOMA</t>
        </is>
      </c>
      <c r="B2" s="7">
        <f>SOMA(D2:H2)</f>
        <v/>
      </c>
      <c r="C2" s="7" t="inlineStr">
        <is>
          <t>Soma Nota 1, Nota 2, Nota 3, Trabalho e Prova.</t>
        </is>
      </c>
    </row>
    <row r="3">
      <c r="A3" s="7" t="inlineStr">
        <is>
          <t>MÉDIA</t>
        </is>
      </c>
      <c r="B3" s="7">
        <f>MÉDIA(D2:H2)</f>
        <v/>
      </c>
      <c r="C3" s="7" t="inlineStr">
        <is>
          <t>Calcula a média das cinco avaliações.</t>
        </is>
      </c>
    </row>
    <row r="4">
      <c r="A4" s="7" t="inlineStr">
        <is>
          <t>MULT</t>
        </is>
      </c>
      <c r="B4" s="7">
        <f>MULT(D2;E2)</f>
        <v/>
      </c>
      <c r="C4" s="7" t="inlineStr">
        <is>
          <t>Multiplica Nota 1 pela Nota 2.</t>
        </is>
      </c>
    </row>
    <row r="5">
      <c r="A5" s="7" t="inlineStr">
        <is>
          <t>MÁXIMO</t>
        </is>
      </c>
      <c r="B5" s="7">
        <f>MÁXIMO(D2:H2)</f>
        <v/>
      </c>
      <c r="C5" s="7" t="inlineStr">
        <is>
          <t>Retorna a maior avaliação.</t>
        </is>
      </c>
    </row>
    <row r="6">
      <c r="A6" s="7" t="inlineStr">
        <is>
          <t>MÍNIMO</t>
        </is>
      </c>
      <c r="B6" s="7">
        <f>MÍNIMO(D2:H2)</f>
        <v/>
      </c>
      <c r="C6" s="7" t="inlineStr">
        <is>
          <t>Retorna a menor avaliação.</t>
        </is>
      </c>
    </row>
    <row r="7">
      <c r="A7" s="7" t="inlineStr">
        <is>
          <t>SE</t>
        </is>
      </c>
      <c r="B7" s="7">
        <f>SE(J2&gt;=7;"Aprovado";SE(J2&gt;=5;"Recuperação";"Reprovado"))</f>
        <v/>
      </c>
      <c r="C7" s="7" t="inlineStr">
        <is>
          <t>Classifica com três situações.</t>
        </is>
      </c>
    </row>
    <row r="8">
      <c r="A8" s="7" t="inlineStr">
        <is>
          <t>SES</t>
        </is>
      </c>
      <c r="B8" s="7">
        <f>SES(J2&gt;=9;"Excelente";J2&gt;=7;"Aprovado";J2&gt;=5;"Recuperação";J2&lt;5;"Reprovado")</f>
        <v/>
      </c>
      <c r="C8" s="7" t="inlineStr">
        <is>
          <t>Classifica com quatro faixas.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2026-10-23T11:56:41Z</dcterms:created>
  <dcterms:modified xmlns:dcterms="http://purl.org/dc/terms/" xmlns:xsi="http://www.w3.org/2001/XMLSchema-instance" xsi:type="dcterms:W3CDTF">2026-10-23T11:56:41Z</dcterms:modified>
</cp:coreProperties>
</file>