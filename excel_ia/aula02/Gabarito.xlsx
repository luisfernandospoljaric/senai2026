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esktop\"/>
    </mc:Choice>
  </mc:AlternateContent>
  <xr:revisionPtr revIDLastSave="0" documentId="13_ncr:1_{3333D476-BBA7-4A67-94CB-7F0AF94D105B}" xr6:coauthVersionLast="47" xr6:coauthVersionMax="47" xr10:uidLastSave="{00000000-0000-0000-0000-000000000000}"/>
  <bookViews>
    <workbookView xWindow="-110" yWindow="-110" windowWidth="19420" windowHeight="10300" xr2:uid="{8B9C0420-8F75-4EC3-A21F-FE9689E157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O7" i="1"/>
  <c r="K2" i="1" a="1"/>
  <c r="J3" i="1"/>
  <c r="J4" i="1"/>
  <c r="J5" i="1"/>
  <c r="J6" i="1"/>
  <c r="J7" i="1"/>
  <c r="J8" i="1"/>
  <c r="J9" i="1"/>
  <c r="J10" i="1"/>
  <c r="J11" i="1"/>
  <c r="J12" i="1"/>
  <c r="J13" i="1"/>
  <c r="J2" i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2" i="1" a="1"/>
  <c r="H3" i="1" a="1"/>
  <c r="H4" i="1" a="1"/>
  <c r="H5" i="1" a="1"/>
  <c r="H6" i="1" a="1"/>
  <c r="H7" i="1" a="1"/>
  <c r="H8" i="1" a="1"/>
  <c r="H9" i="1" a="1"/>
  <c r="H10" i="1" a="1"/>
  <c r="H11" i="1" a="1"/>
  <c r="H12" i="1" a="1"/>
  <c r="H13" i="1" a="1"/>
  <c r="H2" i="1" a="1"/>
  <c r="O6" i="1"/>
  <c r="O5" i="1"/>
  <c r="O4" i="1"/>
  <c r="O3" i="1"/>
  <c r="O2" i="1"/>
  <c r="O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<sst xmlns="http://schemas.openxmlformats.org/spreadsheetml/2006/main" count="43" uniqueCount="33">
  <si>
    <t>ID</t>
  </si>
  <si>
    <t>Nome</t>
  </si>
  <si>
    <t>Setor</t>
  </si>
  <si>
    <t>Salário</t>
  </si>
  <si>
    <t>Vendas</t>
  </si>
  <si>
    <t>Faltas</t>
  </si>
  <si>
    <t>Nota Avaliação</t>
  </si>
  <si>
    <t>Ana</t>
  </si>
  <si>
    <t>Bruno</t>
  </si>
  <si>
    <t>TI</t>
  </si>
  <si>
    <t>Carlos</t>
  </si>
  <si>
    <t>Daniela</t>
  </si>
  <si>
    <t>RH</t>
  </si>
  <si>
    <t>Eduardo</t>
  </si>
  <si>
    <t>Fernanda</t>
  </si>
  <si>
    <t>Gabriel</t>
  </si>
  <si>
    <t>Helena</t>
  </si>
  <si>
    <t>Igor</t>
  </si>
  <si>
    <t>Juliana</t>
  </si>
  <si>
    <t>Kleber</t>
  </si>
  <si>
    <t>Larissa</t>
  </si>
  <si>
    <t>1 - Total de Vendas</t>
  </si>
  <si>
    <t>2 - Média Salarial</t>
  </si>
  <si>
    <t>3 - Total de Vendas</t>
  </si>
  <si>
    <t>4 - Funcionarios T.I</t>
  </si>
  <si>
    <t>5 - Maior Salário</t>
  </si>
  <si>
    <t>Situação dos Funcionários</t>
  </si>
  <si>
    <t>Bonûs de Vendas</t>
  </si>
  <si>
    <t>Controle de Faltas</t>
  </si>
  <si>
    <t>Ranking</t>
  </si>
  <si>
    <t>Resultado Final</t>
  </si>
  <si>
    <t>9 - Média de t.i</t>
  </si>
  <si>
    <t>5 - Menor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</si>
</sst>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  <font>
      <sz val="8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8"/>
      <color rgb="FF1F2328"/>
      <name val="Segoe UI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4" fontId="2" fillId="2" borderId="1" xfId="1" applyFont="1" applyFill="1" applyBorder="1" applyAlignment="1">
      <alignment horizontal="left" vertical="center" wrapText="1" indent="1"/>
    </xf>
    <xf numFmtId="44" fontId="2" fillId="3" borderId="1" xfId="1" applyFont="1" applyFill="1" applyBorder="1" applyAlignment="1">
      <alignment horizontal="left" vertical="center" wrapText="1" indent="1"/>
    </xf>
    <xf numFmtId="0" fontId="6" fillId="0" borderId="0" xfId="0" applyFont="1"/>
    <xf numFmtId="44" fontId="6" fillId="0" borderId="0" xfId="1" applyFont="1"/>
    <xf numFmtId="44" fontId="6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B840-08BE-4C8A-874B-7118EDDAA9CF}">
  <dimension ref="A1:O13"/>
  <sheetViews>
    <sheetView tabSelected="1" zoomScaleNormal="100" workbookViewId="0">
      <selection activeCell="L2" sqref="L2"/>
    </sheetView>
  </sheetViews>
  <sheetFormatPr defaultColWidth="10.90625" defaultRowHeight="14.5" x14ac:dyDescent="0.35"/>
  <cols>
    <col min="4" max="4" width="14.54296875" bestFit="1" customWidth="1"/>
    <col min="5" max="5" width="15.7265625" bestFit="1" customWidth="1"/>
    <col min="8" max="8" width="15.1796875" bestFit="1" customWidth="1"/>
    <col min="9" max="9" width="12.08984375" customWidth="1"/>
    <col min="12" max="12" width="17.36328125" customWidth="1"/>
    <col min="13" max="13" width="16" bestFit="1" customWidth="1"/>
    <col min="14" max="14" width="20.1796875" bestFit="1" customWidth="1"/>
    <col min="15" max="15" width="16.08984375" bestFit="1" customWidth="1"/>
  </cols>
  <sheetData>
    <row r="1" spans="1:15" s="4" customFormat="1" ht="23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26</v>
      </c>
      <c r="I1" s="5" t="s">
        <v>27</v>
      </c>
      <c r="J1" s="6" t="s">
        <v>28</v>
      </c>
      <c r="K1" s="7" t="s">
        <v>29</v>
      </c>
      <c r="L1" s="7" t="s">
        <v>30</v>
      </c>
      <c r="N1" s="10" t="s">
        <v>21</v>
      </c>
      <c r="O1" s="11">
        <f>SUM(E2:E13)</f>
        <v>92000</v>
      </c>
    </row>
    <row r="2" spans="1:15" ht="18.5" x14ac:dyDescent="0.45">
      <c r="A2" s="1">
        <v>1</v>
      </c>
      <c r="B2" s="1" t="s">
        <v>7</v>
      </c>
      <c r="C2" s="1" t="s">
        <v>4</v>
      </c>
      <c r="D2" s="8">
        <v>2500</v>
      </c>
      <c r="E2" s="8">
        <v>12000</v>
      </c>
      <c r="F2" s="1">
        <v>2</v>
      </c>
      <c r="G2" s="1">
        <v>8.5</v>
      </c>
      <c r="H2" s="3" t="str" cm="1">
        <f t="array" ref="H2">_xlfn.IFS(G2&gt;=8,"Alto Desempenho",G2&gt;=7,"Bom",G2&lt;7,"Melhorar")</f>
        <v>Alto Desempenho</v>
      </c>
      <c r="I2" s="3" cm="1">
        <f t="array" ref="I2">_xlfn.IFS(E2&gt;15000,D2*10%,E2&gt;10000,D2*5%,E2&lt;10000,0)</f>
        <v>125</v>
      </c>
      <c r="J2" s="3" t="str">
        <f>IF(F2&lt;=1,"Assíduo","Faltoso")</f>
        <v>Faltoso</v>
      </c>
      <c r="K2" s="3" cm="1">
        <f t="array" ref="K2:K13">RANK(E2:E13,E2:E13,0)</f>
        <v>5</v>
      </c>
      <c r="L2" s="3" t="str">
        <f>IF(AND(G2&gt;=8,F2&lt;=2),"Excelente",IF(G2&gt;=7,"Bom","Ruim"))</f>
        <v>Excelente</v>
      </c>
      <c r="N2" s="10" t="s">
        <v>22</v>
      </c>
      <c r="O2" s="12">
        <f>AVERAGE(D2:D13)</f>
        <v>3258.3333333333335</v>
      </c>
    </row>
    <row r="3" spans="1:15" ht="18.5" x14ac:dyDescent="0.45">
      <c r="A3" s="2">
        <v>2</v>
      </c>
      <c r="B3" s="2" t="s">
        <v>8</v>
      </c>
      <c r="C3" s="2" t="s">
        <v>9</v>
      </c>
      <c r="D3" s="9">
        <v>4000</v>
      </c>
      <c r="E3" s="9">
        <v>3000</v>
      </c>
      <c r="F3" s="2">
        <v>0</v>
      </c>
      <c r="G3" s="2">
        <v>9</v>
      </c>
      <c r="H3" s="3" t="str" cm="1">
        <f t="array" ref="H3">_xlfn.IFS(G3&gt;=8,"Alto Desempenho",G3&gt;=7,"Bom",G3&lt;7,"Melhorar")</f>
        <v>Alto Desempenho</v>
      </c>
      <c r="I3" s="3" cm="1">
        <f t="array" ref="I3">_xlfn.IFS(E3&gt;15000,D3*10%,E3&gt;10000,D3*5%,E3&lt;10000,0)</f>
        <v>0</v>
      </c>
      <c r="J3" s="3" t="str">
        <f t="shared" ref="J3:J13" si="0">IF(F3&lt;=1,"Assíduo","Faltoso")</f>
        <v>Assíduo</v>
      </c>
      <c r="K3" s="3">
        <v>7</v>
      </c>
      <c r="L3" s="3" t="str">
        <f t="shared" ref="L3:L13" si="1">IF(AND(G3&gt;=8,F3&lt;=2),"Excelente",IF(G3&gt;=7,"Bom","Ruim"))</f>
        <v>Excelente</v>
      </c>
      <c r="N3" s="10" t="s">
        <v>23</v>
      </c>
      <c r="O3" s="11">
        <f>SUMIF(C2:C13,"Vendas",E2:E13)</f>
        <v>81000</v>
      </c>
    </row>
    <row r="4" spans="1:15" ht="18.5" x14ac:dyDescent="0.45">
      <c r="A4" s="1">
        <v>3</v>
      </c>
      <c r="B4" s="1" t="s">
        <v>10</v>
      </c>
      <c r="C4" s="1" t="s">
        <v>4</v>
      </c>
      <c r="D4" s="8">
        <v>2700</v>
      </c>
      <c r="E4" s="8">
        <v>15000</v>
      </c>
      <c r="F4" s="1">
        <v>1</v>
      </c>
      <c r="G4" s="1">
        <v>7</v>
      </c>
      <c r="H4" s="3" t="str" cm="1">
        <f t="array" ref="H4">_xlfn.IFS(G4&gt;=8,"Alto Desempenho",G4&gt;=7,"Bom",G4&lt;7,"Melhorar")</f>
        <v>Bom</v>
      </c>
      <c r="I4" s="3" cm="1">
        <f t="array" ref="I4">_xlfn.IFS(E4&gt;15000,D4*10%,E4&gt;10000,D4*5%,E4&lt;10000,0)</f>
        <v>135</v>
      </c>
      <c r="J4" s="3" t="str">
        <f t="shared" si="0"/>
        <v>Assíduo</v>
      </c>
      <c r="K4" s="3">
        <v>3</v>
      </c>
      <c r="L4" s="3" t="str">
        <f t="shared" si="1"/>
        <v>Bom</v>
      </c>
      <c r="N4" s="10" t="s">
        <v>24</v>
      </c>
      <c r="O4" s="10">
        <f>COUNTIF(C2:C13,"TI")</f>
        <v>4</v>
      </c>
    </row>
    <row r="5" spans="1:15" ht="18.5" x14ac:dyDescent="0.45">
      <c r="A5" s="2">
        <v>4</v>
      </c>
      <c r="B5" s="2" t="s">
        <v>11</v>
      </c>
      <c r="C5" s="2" t="s">
        <v>12</v>
      </c>
      <c r="D5" s="9">
        <v>3200</v>
      </c>
      <c r="E5" s="9">
        <v>0</v>
      </c>
      <c r="F5" s="2">
        <v>3</v>
      </c>
      <c r="G5" s="2">
        <v>6.5</v>
      </c>
      <c r="H5" s="3" t="str" cm="1">
        <f t="array" ref="H5">_xlfn.IFS(G5&gt;=8,"Alto Desempenho",G5&gt;=7,"Bom",G5&lt;7,"Melhorar")</f>
        <v>Melhorar</v>
      </c>
      <c r="I5" s="3" cm="1">
        <f t="array" ref="I5">_xlfn.IFS(E5&gt;15000,D5*10%,E5&gt;10000,D5*5%,E5&lt;10000,0)</f>
        <v>0</v>
      </c>
      <c r="J5" s="3" t="str">
        <f t="shared" si="0"/>
        <v>Faltoso</v>
      </c>
      <c r="K5" s="3">
        <v>10</v>
      </c>
      <c r="L5" s="3" t="str">
        <f t="shared" si="1"/>
        <v>Ruim</v>
      </c>
      <c r="N5" s="10" t="s">
        <v>25</v>
      </c>
      <c r="O5" s="12">
        <f>MAX(D2:D13)</f>
        <v>4500</v>
      </c>
    </row>
    <row r="6" spans="1:15" ht="18.5" x14ac:dyDescent="0.45">
      <c r="A6" s="1">
        <v>5</v>
      </c>
      <c r="B6" s="1" t="s">
        <v>13</v>
      </c>
      <c r="C6" s="1" t="s">
        <v>9</v>
      </c>
      <c r="D6" s="8">
        <v>4500</v>
      </c>
      <c r="E6" s="8">
        <v>2000</v>
      </c>
      <c r="F6" s="1">
        <v>0</v>
      </c>
      <c r="G6" s="1">
        <v>8</v>
      </c>
      <c r="H6" s="3" t="str" cm="1">
        <f t="array" ref="H6">_xlfn.IFS(G6&gt;=8,"Alto Desempenho",G6&gt;=7,"Bom",G6&lt;7,"Melhorar")</f>
        <v>Alto Desempenho</v>
      </c>
      <c r="I6" s="3" cm="1">
        <f t="array" ref="I6">_xlfn.IFS(E6&gt;15000,D6*10%,E6&gt;10000,D6*5%,E6&lt;10000,0)</f>
        <v>0</v>
      </c>
      <c r="J6" s="3" t="str">
        <f t="shared" si="0"/>
        <v>Assíduo</v>
      </c>
      <c r="K6" s="3">
        <v>9</v>
      </c>
      <c r="L6" s="3" t="str">
        <f t="shared" si="1"/>
        <v>Excelente</v>
      </c>
      <c r="N6" s="10" t="s">
        <v>32</v>
      </c>
      <c r="O6" s="12">
        <f>MIN(D2:D13)</f>
        <v>2500</v>
      </c>
    </row>
    <row r="7" spans="1:15" ht="21" customHeight="1" x14ac:dyDescent="0.45">
      <c r="A7" s="2">
        <v>6</v>
      </c>
      <c r="B7" s="2" t="s">
        <v>14</v>
      </c>
      <c r="C7" s="2" t="s">
        <v>4</v>
      </c>
      <c r="D7" s="9">
        <v>2600</v>
      </c>
      <c r="E7" s="9">
        <v>18000</v>
      </c>
      <c r="F7" s="2">
        <v>4</v>
      </c>
      <c r="G7" s="2">
        <v>9.5</v>
      </c>
      <c r="H7" s="3" t="str" cm="1">
        <f t="array" ref="H7">_xlfn.IFS(G7&gt;=8,"Alto Desempenho",G7&gt;=7,"Bom",G7&lt;7,"Melhorar")</f>
        <v>Alto Desempenho</v>
      </c>
      <c r="I7" s="3" cm="1">
        <f t="array" ref="I7">_xlfn.IFS(E7&gt;15000,D7*10%,E7&gt;10000,D7*5%,E7&lt;10000,0)</f>
        <v>260</v>
      </c>
      <c r="J7" s="3" t="str">
        <f t="shared" si="0"/>
        <v>Faltoso</v>
      </c>
      <c r="K7" s="3">
        <v>2</v>
      </c>
      <c r="L7" s="3" t="str">
        <f t="shared" si="1"/>
        <v>Bom</v>
      </c>
      <c r="N7" s="10" t="s">
        <v>31</v>
      </c>
      <c r="O7" s="10">
        <f>AVERAGEIF(C2:C13,"TI",G2:G13)</f>
        <v>8.4</v>
      </c>
    </row>
    <row r="8" spans="1:15" ht="17.5" x14ac:dyDescent="0.35">
      <c r="A8" s="1">
        <v>7</v>
      </c>
      <c r="B8" s="1" t="s">
        <v>15</v>
      </c>
      <c r="C8" s="1" t="s">
        <v>12</v>
      </c>
      <c r="D8" s="8">
        <v>3000</v>
      </c>
      <c r="E8" s="8">
        <v>0</v>
      </c>
      <c r="F8" s="1">
        <v>2</v>
      </c>
      <c r="G8" s="1">
        <v>7.5</v>
      </c>
      <c r="H8" s="3" t="str" cm="1">
        <f t="array" ref="H8">_xlfn.IFS(G8&gt;=8,"Alto Desempenho",G8&gt;=7,"Bom",G8&lt;7,"Melhorar")</f>
        <v>Bom</v>
      </c>
      <c r="I8" s="3" cm="1">
        <f t="array" ref="I8">_xlfn.IFS(E8&gt;15000,D8*10%,E8&gt;10000,D8*5%,E8&lt;10000,0)</f>
        <v>0</v>
      </c>
      <c r="J8" s="3" t="str">
        <f t="shared" si="0"/>
        <v>Faltoso</v>
      </c>
      <c r="K8" s="3">
        <v>10</v>
      </c>
      <c r="L8" s="3" t="str">
        <f t="shared" si="1"/>
        <v>Bom</v>
      </c>
    </row>
    <row r="9" spans="1:15" ht="17.5" x14ac:dyDescent="0.35">
      <c r="A9" s="2">
        <v>8</v>
      </c>
      <c r="B9" s="2" t="s">
        <v>16</v>
      </c>
      <c r="C9" s="2" t="s">
        <v>9</v>
      </c>
      <c r="D9" s="9">
        <v>4200</v>
      </c>
      <c r="E9" s="9">
        <v>3500</v>
      </c>
      <c r="F9" s="2">
        <v>1</v>
      </c>
      <c r="G9" s="2">
        <v>8.8000000000000007</v>
      </c>
      <c r="H9" s="3" t="str" cm="1">
        <f t="array" ref="H9">_xlfn.IFS(G9&gt;=8,"Alto Desempenho",G9&gt;=7,"Bom",G9&lt;7,"Melhorar")</f>
        <v>Alto Desempenho</v>
      </c>
      <c r="I9" s="3" cm="1">
        <f t="array" ref="I9">_xlfn.IFS(E9&gt;15000,D9*10%,E9&gt;10000,D9*5%,E9&lt;10000,0)</f>
        <v>0</v>
      </c>
      <c r="J9" s="3" t="str">
        <f t="shared" si="0"/>
        <v>Assíduo</v>
      </c>
      <c r="K9" s="3">
        <v>6</v>
      </c>
      <c r="L9" s="3" t="str">
        <f t="shared" si="1"/>
        <v>Excelente</v>
      </c>
    </row>
    <row r="10" spans="1:15" ht="17.5" x14ac:dyDescent="0.35">
      <c r="A10" s="1">
        <v>9</v>
      </c>
      <c r="B10" s="1" t="s">
        <v>17</v>
      </c>
      <c r="C10" s="1" t="s">
        <v>4</v>
      </c>
      <c r="D10" s="8">
        <v>2800</v>
      </c>
      <c r="E10" s="8">
        <v>22000</v>
      </c>
      <c r="F10" s="1">
        <v>0</v>
      </c>
      <c r="G10" s="1">
        <v>9.1999999999999993</v>
      </c>
      <c r="H10" s="3" t="str" cm="1">
        <f t="array" ref="H10">_xlfn.IFS(G10&gt;=8,"Alto Desempenho",G10&gt;=7,"Bom",G10&lt;7,"Melhorar")</f>
        <v>Alto Desempenho</v>
      </c>
      <c r="I10" s="3" cm="1">
        <f t="array" ref="I10">_xlfn.IFS(E10&gt;15000,D10*10%,E10&gt;10000,D10*5%,E10&lt;10000,0)</f>
        <v>280</v>
      </c>
      <c r="J10" s="3" t="str">
        <f t="shared" si="0"/>
        <v>Assíduo</v>
      </c>
      <c r="K10" s="3">
        <v>1</v>
      </c>
      <c r="L10" s="3" t="str">
        <f t="shared" si="1"/>
        <v>Excelente</v>
      </c>
    </row>
    <row r="11" spans="1:15" ht="17.5" x14ac:dyDescent="0.35">
      <c r="A11" s="2">
        <v>10</v>
      </c>
      <c r="B11" s="2" t="s">
        <v>18</v>
      </c>
      <c r="C11" s="2" t="s">
        <v>12</v>
      </c>
      <c r="D11" s="9">
        <v>3100</v>
      </c>
      <c r="E11" s="9">
        <v>0</v>
      </c>
      <c r="F11" s="2">
        <v>5</v>
      </c>
      <c r="G11" s="2">
        <v>6</v>
      </c>
      <c r="H11" s="3" t="str" cm="1">
        <f t="array" ref="H11">_xlfn.IFS(G11&gt;=8,"Alto Desempenho",G11&gt;=7,"Bom",G11&lt;7,"Melhorar")</f>
        <v>Melhorar</v>
      </c>
      <c r="I11" s="3" cm="1">
        <f t="array" ref="I11">_xlfn.IFS(E11&gt;15000,D11*10%,E11&gt;10000,D11*5%,E11&lt;10000,0)</f>
        <v>0</v>
      </c>
      <c r="J11" s="3" t="str">
        <f t="shared" si="0"/>
        <v>Faltoso</v>
      </c>
      <c r="K11" s="3">
        <v>10</v>
      </c>
      <c r="L11" s="3" t="str">
        <f t="shared" si="1"/>
        <v>Ruim</v>
      </c>
    </row>
    <row r="12" spans="1:15" ht="17.5" x14ac:dyDescent="0.35">
      <c r="A12" s="1">
        <v>11</v>
      </c>
      <c r="B12" s="1" t="s">
        <v>19</v>
      </c>
      <c r="C12" s="1" t="s">
        <v>9</v>
      </c>
      <c r="D12" s="8">
        <v>3900</v>
      </c>
      <c r="E12" s="8">
        <v>2500</v>
      </c>
      <c r="F12" s="1">
        <v>2</v>
      </c>
      <c r="G12" s="1">
        <v>7.8</v>
      </c>
      <c r="H12" s="3" t="str" cm="1">
        <f t="array" ref="H12">_xlfn.IFS(G12&gt;=8,"Alto Desempenho",G12&gt;=7,"Bom",G12&lt;7,"Melhorar")</f>
        <v>Bom</v>
      </c>
      <c r="I12" s="3" cm="1">
        <f t="array" ref="I12">_xlfn.IFS(E12&gt;15000,D12*10%,E12&gt;10000,D12*5%,E12&lt;10000,0)</f>
        <v>0</v>
      </c>
      <c r="J12" s="3" t="str">
        <f t="shared" si="0"/>
        <v>Faltoso</v>
      </c>
      <c r="K12" s="3">
        <v>8</v>
      </c>
      <c r="L12" s="3" t="str">
        <f t="shared" si="1"/>
        <v>Bom</v>
      </c>
    </row>
    <row r="13" spans="1:15" ht="17.5" x14ac:dyDescent="0.35">
      <c r="A13" s="2">
        <v>12</v>
      </c>
      <c r="B13" s="2" t="s">
        <v>20</v>
      </c>
      <c r="C13" s="2" t="s">
        <v>4</v>
      </c>
      <c r="D13" s="9">
        <v>2600</v>
      </c>
      <c r="E13" s="9">
        <v>14000</v>
      </c>
      <c r="F13" s="2">
        <v>1</v>
      </c>
      <c r="G13" s="2">
        <v>8.3000000000000007</v>
      </c>
      <c r="H13" s="3" t="str" cm="1">
        <f t="array" ref="H13">_xlfn.IFS(G13&gt;=8,"Alto Desempenho",G13&gt;=7,"Bom",G13&lt;7,"Melhorar")</f>
        <v>Alto Desempenho</v>
      </c>
      <c r="I13" s="3" cm="1">
        <f t="array" ref="I13">_xlfn.IFS(E13&gt;15000,D13*10%,E13&gt;10000,D13*5%,E13&lt;10000,0)</f>
        <v>130</v>
      </c>
      <c r="J13" s="3" t="str">
        <f t="shared" si="0"/>
        <v>Assíduo</v>
      </c>
      <c r="K13" s="3">
        <v>4</v>
      </c>
      <c r="L13" s="3" t="str">
        <f t="shared" si="1"/>
        <v>Excelente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2026-09-24T10:41:00Z</dcterms:created>
  <dcterms:modified xsi:type="dcterms:W3CDTF">2026-10-30T14:10:58Z</dcterms:modified>
</cp:coreProperties>
</file>